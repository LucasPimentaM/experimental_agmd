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perimentos_adaptado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<sst xmlns="http://schemas.openxmlformats.org/spreadsheetml/2006/main" count="48" uniqueCount="48">
  <si>
    <t xml:space="preserve">Case</t>
  </si>
  <si>
    <t xml:space="preserve">Feed temperature at the inlet (°C)</t>
  </si>
  <si>
    <t xml:space="preserve">Coolant temperature at the inlet (°C)</t>
  </si>
  <si>
    <t xml:space="preserve">Feed salinity at the inlet (g/L)</t>
  </si>
  <si>
    <t xml:space="preserve">Barium concentration at the inlet (g/L)</t>
  </si>
  <si>
    <t xml:space="preserve">Membrane thickness (m)</t>
  </si>
  <si>
    <t xml:space="preserve">Membrane porosity</t>
  </si>
  <si>
    <t xml:space="preserve">Pore diameter (m)</t>
  </si>
  <si>
    <t xml:space="preserve">Polymer conductivity (W/mK)</t>
  </si>
  <si>
    <t xml:space="preserve">Membrane area (m²)</t>
  </si>
  <si>
    <t xml:space="preserve">Feed channel height (m)</t>
  </si>
  <si>
    <t xml:space="preserve">Cold channel height (m)</t>
  </si>
  <si>
    <t xml:space="preserve">Channel width (m)</t>
  </si>
  <si>
    <t xml:space="preserve">Spacer porosity</t>
  </si>
  <si>
    <t xml:space="preserve">Gap spacer porosity</t>
  </si>
  <si>
    <t xml:space="preserve">Air gap thickness (m)</t>
  </si>
  <si>
    <t xml:space="preserve">Wall thickness (m)</t>
  </si>
  <si>
    <t xml:space="preserve">Spacer thermal conductivity (W/mK)</t>
  </si>
  <si>
    <t xml:space="preserve">Condensing wall thermal conductivity (W/mK)</t>
  </si>
  <si>
    <t xml:space="preserve">Feed flow rate (L/h)</t>
  </si>
  <si>
    <t xml:space="preserve">Coolant flow rate (L/h)</t>
  </si>
  <si>
    <t xml:space="preserve">Vacuum pressure (Pa)</t>
  </si>
  <si>
    <t xml:space="preserve">Coolant salinity at the inlet (g/L)</t>
  </si>
  <si>
    <t xml:space="preserve">Number of channels</t>
  </si>
  <si>
    <t xml:space="preserve">Feed temperature at the outlet (°C)</t>
  </si>
  <si>
    <t xml:space="preserve">Feed temperature at the outlet uncertainty (°C)</t>
  </si>
  <si>
    <t xml:space="preserve">Coolant temperature at the outlet (°C)</t>
  </si>
  <si>
    <t xml:space="preserve">Coolant temperature at the outlet uncertainty (°C)</t>
  </si>
  <si>
    <t xml:space="preserve">Distilled water flux (L/m²h)</t>
  </si>
  <si>
    <t xml:space="preserve">Distilled water flux (L/h)</t>
  </si>
  <si>
    <t xml:space="preserve">Distilled water flux (L/m²h) 2</t>
  </si>
  <si>
    <t xml:space="preserve">Distilled water flux uncertainty (L/m²h)</t>
  </si>
  <si>
    <t xml:space="preserve">Case 2</t>
  </si>
  <si>
    <t xml:space="preserve">Case 3</t>
  </si>
  <si>
    <t xml:space="preserve">Case 6</t>
  </si>
  <si>
    <t xml:space="preserve">Case 8</t>
  </si>
  <si>
    <t xml:space="preserve">Case 11</t>
  </si>
  <si>
    <t xml:space="preserve">Case 14</t>
  </si>
  <si>
    <t xml:space="preserve">Case 16</t>
  </si>
  <si>
    <t xml:space="preserve">Case 22</t>
  </si>
  <si>
    <t xml:space="preserve">Case 25</t>
  </si>
  <si>
    <t xml:space="preserve">Case 27</t>
  </si>
  <si>
    <t xml:space="preserve">Case 31</t>
  </si>
  <si>
    <t xml:space="preserve">Case 34</t>
  </si>
  <si>
    <t xml:space="preserve">Case 36</t>
  </si>
  <si>
    <t xml:space="preserve">Case 38</t>
  </si>
  <si>
    <t xml:space="preserve">Case 40</t>
  </si>
  <si>
    <t xml:space="preserve">Case 41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</si>
</sst>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F18" activeCellId="0" sqref="AF18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8.25"/>
    <col collapsed="false" customWidth="true" hidden="false" outlineLevel="0" max="2" min="2" style="1" width="28.42"/>
    <col collapsed="false" customWidth="true" hidden="false" outlineLevel="0" max="3" min="3" style="1" width="30.51"/>
    <col collapsed="false" customWidth="true" hidden="false" outlineLevel="0" max="4" min="4" style="1" width="25.08"/>
    <col collapsed="false" customWidth="true" hidden="false" outlineLevel="0" max="5" min="5" style="1" width="31.9"/>
    <col collapsed="false" customWidth="true" hidden="false" outlineLevel="0" max="6" min="6" style="1" width="21.6"/>
    <col collapsed="false" customWidth="true" hidden="false" outlineLevel="0" max="7" min="7" style="1" width="17.01"/>
    <col collapsed="false" customWidth="true" hidden="false" outlineLevel="0" max="8" min="8" style="1" width="16.04"/>
    <col collapsed="false" customWidth="true" hidden="false" outlineLevel="0" max="9" min="9" style="1" width="25.24"/>
    <col collapsed="false" customWidth="true" hidden="false" outlineLevel="0" max="10" min="10" style="1" width="17.85"/>
    <col collapsed="false" customWidth="true" hidden="false" outlineLevel="0" max="11" min="11" style="1" width="21.04"/>
    <col collapsed="false" customWidth="true" hidden="false" outlineLevel="0" max="12" min="12" style="1" width="20.63"/>
    <col collapsed="false" customWidth="true" hidden="false" outlineLevel="0" max="13" min="13" style="1" width="16.04"/>
    <col collapsed="false" customWidth="true" hidden="false" outlineLevel="0" max="14" min="14" style="1" width="14.23"/>
    <col collapsed="false" customWidth="true" hidden="false" outlineLevel="0" max="15" min="15" style="1" width="17.85"/>
    <col collapsed="false" customWidth="true" hidden="false" outlineLevel="0" max="16" min="16" style="1" width="18.82"/>
    <col collapsed="false" customWidth="true" hidden="false" outlineLevel="0" max="17" min="17" style="1" width="16.58"/>
    <col collapsed="false" customWidth="true" hidden="false" outlineLevel="0" max="18" min="18" style="1" width="30.78"/>
    <col collapsed="false" customWidth="true" hidden="false" outlineLevel="0" max="19" min="19" style="1" width="38.16"/>
    <col collapsed="false" customWidth="true" hidden="false" outlineLevel="0" max="20" min="20" style="1" width="17.15"/>
    <col collapsed="false" customWidth="true" hidden="false" outlineLevel="0" max="21" min="21" style="1" width="19.24"/>
    <col collapsed="false" customWidth="true" hidden="false" outlineLevel="0" max="22" min="22" style="1" width="19.66"/>
    <col collapsed="false" customWidth="true" hidden="false" outlineLevel="0" max="23" min="23" style="1" width="27.17"/>
    <col collapsed="false" customWidth="true" hidden="false" outlineLevel="0" max="24" min="24" style="1" width="17.71"/>
    <col collapsed="false" customWidth="true" hidden="false" outlineLevel="0" max="25" min="25" style="1" width="29.53"/>
    <col collapsed="false" customWidth="true" hidden="false" outlineLevel="0" max="26" min="26" style="1" width="39"/>
    <col collapsed="false" customWidth="true" hidden="false" outlineLevel="0" max="27" min="27" style="1" width="31.62"/>
    <col collapsed="false" customWidth="true" hidden="false" outlineLevel="0" max="28" min="28" style="1" width="41.08"/>
    <col collapsed="false" customWidth="true" hidden="false" outlineLevel="0" max="29" min="29" style="1" width="22.58"/>
    <col collapsed="false" customWidth="true" hidden="false" outlineLevel="0" max="32" min="30" style="1" width="32.0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2" t="s">
        <v>30</v>
      </c>
      <c r="AF1" s="1" t="s">
        <v>31</v>
      </c>
    </row>
    <row r="2" customFormat="false" ht="12.8" hidden="false" customHeight="false" outlineLevel="0" collapsed="false">
      <c r="A2" s="1" t="s">
        <v>32</v>
      </c>
      <c r="B2" s="1" t="n">
        <v>50.03</v>
      </c>
      <c r="C2" s="1" t="n">
        <v>30.66</v>
      </c>
      <c r="D2" s="1" t="n">
        <v>0.3</v>
      </c>
      <c r="E2" s="1" t="n">
        <v>0</v>
      </c>
      <c r="F2" s="1" t="n">
        <v>0.00015</v>
      </c>
      <c r="G2" s="1" t="n">
        <v>0.7</v>
      </c>
      <c r="H2" s="1" t="n">
        <v>3.5E-007</v>
      </c>
      <c r="I2" s="1" t="n">
        <v>0.3</v>
      </c>
      <c r="J2" s="1" t="n">
        <f aca="false">3.14159*0.1^2/4</f>
        <v>0.007853975</v>
      </c>
      <c r="K2" s="1" t="n">
        <v>0.0038</v>
      </c>
      <c r="L2" s="1" t="n">
        <v>0.002</v>
      </c>
      <c r="M2" s="1" t="n">
        <f aca="false">SQRT(3.14159)*0.1/2</f>
        <v>0.0886226551170749</v>
      </c>
      <c r="N2" s="1" t="n">
        <v>1</v>
      </c>
      <c r="O2" s="1" t="n">
        <f aca="false">0.005/J2</f>
        <v>0.636620310097753</v>
      </c>
      <c r="P2" s="1" t="n">
        <v>0.0002</v>
      </c>
      <c r="Q2" s="1" t="n">
        <v>0.0008</v>
      </c>
      <c r="R2" s="1" t="n">
        <v>0.27</v>
      </c>
      <c r="S2" s="1" t="n">
        <v>18</v>
      </c>
      <c r="T2" s="1" t="n">
        <v>52.2864</v>
      </c>
      <c r="U2" s="1" t="n">
        <v>52.2864</v>
      </c>
      <c r="V2" s="1" t="n">
        <v>0</v>
      </c>
      <c r="W2" s="1" t="n">
        <v>0.3</v>
      </c>
      <c r="X2" s="1" t="n">
        <v>1</v>
      </c>
      <c r="Y2" s="1" t="n">
        <v>49.64</v>
      </c>
      <c r="Z2" s="1" t="n">
        <v>0.19</v>
      </c>
      <c r="AA2" s="1" t="n">
        <v>31.42</v>
      </c>
      <c r="AB2" s="1" t="n">
        <v>0.21</v>
      </c>
      <c r="AC2" s="1" t="n">
        <f aca="false">AD2/J2</f>
        <v>5.85690685289933</v>
      </c>
      <c r="AD2" s="3" t="n">
        <v>0.046</v>
      </c>
      <c r="AE2" s="1" t="n">
        <v>9.2</v>
      </c>
      <c r="AF2" s="1" t="n">
        <v>0</v>
      </c>
    </row>
    <row r="3" customFormat="false" ht="12.8" hidden="false" customHeight="false" outlineLevel="0" collapsed="false">
      <c r="A3" s="1" t="s">
        <v>33</v>
      </c>
      <c r="B3" s="1" t="n">
        <v>51.12</v>
      </c>
      <c r="C3" s="1" t="n">
        <v>30.78</v>
      </c>
      <c r="D3" s="1" t="n">
        <v>0.3</v>
      </c>
      <c r="E3" s="1" t="n">
        <v>0</v>
      </c>
      <c r="F3" s="1" t="n">
        <v>0.00015</v>
      </c>
      <c r="G3" s="1" t="n">
        <v>0.7</v>
      </c>
      <c r="H3" s="1" t="n">
        <v>3.5E-007</v>
      </c>
      <c r="I3" s="1" t="n">
        <v>0.3</v>
      </c>
      <c r="J3" s="1" t="n">
        <f aca="false">3.14159*0.1^2/4</f>
        <v>0.007853975</v>
      </c>
      <c r="K3" s="1" t="n">
        <v>0.0038</v>
      </c>
      <c r="L3" s="1" t="n">
        <v>0.002</v>
      </c>
      <c r="M3" s="1" t="n">
        <f aca="false">SQRT(3.14159)*0.1/2</f>
        <v>0.0886226551170749</v>
      </c>
      <c r="N3" s="1" t="n">
        <v>1</v>
      </c>
      <c r="O3" s="1" t="n">
        <f aca="false">0.005/J3</f>
        <v>0.636620310097753</v>
      </c>
      <c r="P3" s="1" t="n">
        <v>0.0002</v>
      </c>
      <c r="Q3" s="1" t="n">
        <v>0.0008</v>
      </c>
      <c r="R3" s="1" t="n">
        <v>0.27</v>
      </c>
      <c r="S3" s="1" t="n">
        <v>18</v>
      </c>
      <c r="T3" s="1" t="n">
        <v>52.2864</v>
      </c>
      <c r="U3" s="1" t="n">
        <v>52.2864</v>
      </c>
      <c r="V3" s="1" t="n">
        <v>0</v>
      </c>
      <c r="W3" s="1" t="n">
        <v>0.3</v>
      </c>
      <c r="X3" s="1" t="n">
        <v>1</v>
      </c>
      <c r="Y3" s="1" t="n">
        <v>50.78</v>
      </c>
      <c r="Z3" s="1" t="n">
        <v>0.19</v>
      </c>
      <c r="AA3" s="1" t="n">
        <v>31.56</v>
      </c>
      <c r="AB3" s="1" t="n">
        <v>0.21</v>
      </c>
      <c r="AC3" s="1" t="n">
        <f aca="false">AD3/J3</f>
        <v>5.98423091491888</v>
      </c>
      <c r="AD3" s="3" t="n">
        <v>0.047</v>
      </c>
      <c r="AE3" s="1" t="n">
        <v>9.4</v>
      </c>
      <c r="AF3" s="1" t="n">
        <v>0</v>
      </c>
    </row>
    <row r="4" customFormat="false" ht="12.8" hidden="false" customHeight="false" outlineLevel="0" collapsed="false">
      <c r="A4" s="1" t="s">
        <v>34</v>
      </c>
      <c r="B4" s="1" t="n">
        <v>40.18</v>
      </c>
      <c r="C4" s="1" t="n">
        <v>20.07</v>
      </c>
      <c r="D4" s="1" t="n">
        <v>0.3</v>
      </c>
      <c r="E4" s="1" t="n">
        <v>0</v>
      </c>
      <c r="F4" s="1" t="n">
        <v>0.00015</v>
      </c>
      <c r="G4" s="1" t="n">
        <v>0.7</v>
      </c>
      <c r="H4" s="1" t="n">
        <v>3.5E-007</v>
      </c>
      <c r="I4" s="1" t="n">
        <v>0.3</v>
      </c>
      <c r="J4" s="1" t="n">
        <f aca="false">3.14159*0.1^2/4</f>
        <v>0.007853975</v>
      </c>
      <c r="K4" s="1" t="n">
        <v>0.0038</v>
      </c>
      <c r="L4" s="1" t="n">
        <v>0.002</v>
      </c>
      <c r="M4" s="1" t="n">
        <f aca="false">SQRT(3.14159)*0.1/2</f>
        <v>0.0886226551170749</v>
      </c>
      <c r="N4" s="1" t="n">
        <v>1</v>
      </c>
      <c r="O4" s="1" t="n">
        <f aca="false">0.005/J4</f>
        <v>0.636620310097753</v>
      </c>
      <c r="P4" s="1" t="n">
        <v>0.0002</v>
      </c>
      <c r="Q4" s="1" t="n">
        <v>0.0008</v>
      </c>
      <c r="R4" s="1" t="n">
        <v>0.27</v>
      </c>
      <c r="S4" s="1" t="n">
        <v>18</v>
      </c>
      <c r="T4" s="1" t="n">
        <v>52.2864</v>
      </c>
      <c r="U4" s="1" t="n">
        <v>52.2864</v>
      </c>
      <c r="V4" s="1" t="n">
        <v>0</v>
      </c>
      <c r="W4" s="1" t="n">
        <v>0.3</v>
      </c>
      <c r="X4" s="1" t="n">
        <v>1</v>
      </c>
      <c r="Y4" s="1" t="n">
        <v>39.82</v>
      </c>
      <c r="Z4" s="1" t="n">
        <v>0.19</v>
      </c>
      <c r="AA4" s="1" t="n">
        <v>20.74</v>
      </c>
      <c r="AB4" s="1" t="n">
        <v>0.21</v>
      </c>
      <c r="AC4" s="1" t="n">
        <f aca="false">AD4/J4</f>
        <v>4.71099029472337</v>
      </c>
      <c r="AD4" s="3" t="n">
        <v>0.037</v>
      </c>
      <c r="AE4" s="1" t="n">
        <v>7.4</v>
      </c>
      <c r="AF4" s="1" t="n">
        <v>0</v>
      </c>
    </row>
    <row r="5" customFormat="false" ht="12.8" hidden="false" customHeight="false" outlineLevel="0" collapsed="false">
      <c r="A5" s="1" t="s">
        <v>35</v>
      </c>
      <c r="B5" s="1" t="n">
        <v>59.74</v>
      </c>
      <c r="C5" s="1" t="n">
        <v>39.86</v>
      </c>
      <c r="D5" s="1" t="n">
        <v>0.3</v>
      </c>
      <c r="E5" s="1" t="n">
        <v>0</v>
      </c>
      <c r="F5" s="1" t="n">
        <v>0.00015</v>
      </c>
      <c r="G5" s="1" t="n">
        <v>0.7</v>
      </c>
      <c r="H5" s="1" t="n">
        <v>3.5E-007</v>
      </c>
      <c r="I5" s="1" t="n">
        <v>0.3</v>
      </c>
      <c r="J5" s="1" t="n">
        <f aca="false">3.14159*0.1^2/4</f>
        <v>0.007853975</v>
      </c>
      <c r="K5" s="1" t="n">
        <v>0.0038</v>
      </c>
      <c r="L5" s="1" t="n">
        <v>0.002</v>
      </c>
      <c r="M5" s="1" t="n">
        <f aca="false">SQRT(3.14159)*0.1/2</f>
        <v>0.0886226551170749</v>
      </c>
      <c r="N5" s="1" t="n">
        <v>1</v>
      </c>
      <c r="O5" s="1" t="n">
        <f aca="false">0.005/J5</f>
        <v>0.636620310097753</v>
      </c>
      <c r="P5" s="1" t="n">
        <v>0.0002</v>
      </c>
      <c r="Q5" s="1" t="n">
        <v>0.0008</v>
      </c>
      <c r="R5" s="1" t="n">
        <v>0.27</v>
      </c>
      <c r="S5" s="1" t="n">
        <v>18</v>
      </c>
      <c r="T5" s="1" t="n">
        <v>52.2864</v>
      </c>
      <c r="U5" s="1" t="n">
        <v>52.2864</v>
      </c>
      <c r="V5" s="1" t="n">
        <v>0</v>
      </c>
      <c r="W5" s="1" t="n">
        <v>0.3</v>
      </c>
      <c r="X5" s="1" t="n">
        <v>1</v>
      </c>
      <c r="Y5" s="1" t="n">
        <v>59.41</v>
      </c>
      <c r="Z5" s="1" t="n">
        <v>0.19</v>
      </c>
      <c r="AA5" s="1" t="n">
        <v>40.99</v>
      </c>
      <c r="AB5" s="1" t="n">
        <v>0.21</v>
      </c>
      <c r="AC5" s="1" t="n">
        <f aca="false">AD5/J5</f>
        <v>34.8867929933569</v>
      </c>
      <c r="AD5" s="3" t="n">
        <v>0.274</v>
      </c>
      <c r="AE5" s="1" t="n">
        <v>54.8</v>
      </c>
      <c r="AF5" s="1" t="n">
        <v>0</v>
      </c>
    </row>
    <row r="6" customFormat="false" ht="12.8" hidden="false" customHeight="false" outlineLevel="0" collapsed="false">
      <c r="A6" s="1" t="s">
        <v>36</v>
      </c>
      <c r="B6" s="1" t="n">
        <v>55.48</v>
      </c>
      <c r="C6" s="1" t="n">
        <v>35.55</v>
      </c>
      <c r="D6" s="1" t="n">
        <v>0.3</v>
      </c>
      <c r="E6" s="1" t="n">
        <v>0</v>
      </c>
      <c r="F6" s="1" t="n">
        <v>0.00015</v>
      </c>
      <c r="G6" s="1" t="n">
        <v>0.7</v>
      </c>
      <c r="H6" s="1" t="n">
        <v>3.5E-007</v>
      </c>
      <c r="I6" s="1" t="n">
        <v>0.3</v>
      </c>
      <c r="J6" s="1" t="n">
        <f aca="false">3.14159*0.1^2/4</f>
        <v>0.007853975</v>
      </c>
      <c r="K6" s="1" t="n">
        <v>0.0038</v>
      </c>
      <c r="L6" s="1" t="n">
        <v>0.002</v>
      </c>
      <c r="M6" s="1" t="n">
        <f aca="false">SQRT(3.14159)*0.1/2</f>
        <v>0.0886226551170749</v>
      </c>
      <c r="N6" s="1" t="n">
        <v>1</v>
      </c>
      <c r="O6" s="1" t="n">
        <f aca="false">0.005/J6</f>
        <v>0.636620310097753</v>
      </c>
      <c r="P6" s="1" t="n">
        <v>0.0002</v>
      </c>
      <c r="Q6" s="1" t="n">
        <v>0.0008</v>
      </c>
      <c r="R6" s="1" t="n">
        <v>0.27</v>
      </c>
      <c r="S6" s="1" t="n">
        <v>18</v>
      </c>
      <c r="T6" s="1" t="n">
        <v>52.2864</v>
      </c>
      <c r="U6" s="1" t="n">
        <v>52.2864</v>
      </c>
      <c r="V6" s="1" t="n">
        <v>0</v>
      </c>
      <c r="W6" s="1" t="n">
        <v>0.3</v>
      </c>
      <c r="X6" s="1" t="n">
        <v>1</v>
      </c>
      <c r="Y6" s="1" t="n">
        <v>55.05</v>
      </c>
      <c r="Z6" s="1" t="n">
        <v>0.19</v>
      </c>
      <c r="AA6" s="1" t="n">
        <v>36.45</v>
      </c>
      <c r="AB6" s="1" t="n">
        <v>0.21</v>
      </c>
      <c r="AC6" s="1" t="n">
        <f aca="false">AD6/J6</f>
        <v>7.38479559713394</v>
      </c>
      <c r="AD6" s="3" t="n">
        <v>0.058</v>
      </c>
      <c r="AE6" s="1" t="n">
        <v>11.6</v>
      </c>
      <c r="AF6" s="1" t="n">
        <v>0</v>
      </c>
    </row>
    <row r="7" customFormat="false" ht="12.8" hidden="false" customHeight="false" outlineLevel="0" collapsed="false">
      <c r="A7" s="1" t="s">
        <v>37</v>
      </c>
      <c r="B7" s="1" t="n">
        <v>50.49</v>
      </c>
      <c r="C7" s="1" t="n">
        <v>30.67</v>
      </c>
      <c r="D7" s="1" t="n">
        <v>0.3</v>
      </c>
      <c r="E7" s="1" t="n">
        <v>0</v>
      </c>
      <c r="F7" s="1" t="n">
        <v>0.00015</v>
      </c>
      <c r="G7" s="1" t="n">
        <v>0.7</v>
      </c>
      <c r="H7" s="1" t="n">
        <v>3.5E-007</v>
      </c>
      <c r="I7" s="1" t="n">
        <v>0.3</v>
      </c>
      <c r="J7" s="1" t="n">
        <f aca="false">3.14159*0.1^2/4</f>
        <v>0.007853975</v>
      </c>
      <c r="K7" s="1" t="n">
        <v>0.0038</v>
      </c>
      <c r="L7" s="1" t="n">
        <v>0.002</v>
      </c>
      <c r="M7" s="1" t="n">
        <f aca="false">SQRT(3.14159)*0.1/2</f>
        <v>0.0886226551170749</v>
      </c>
      <c r="N7" s="1" t="n">
        <v>1</v>
      </c>
      <c r="O7" s="1" t="n">
        <f aca="false">0.005/J7</f>
        <v>0.636620310097753</v>
      </c>
      <c r="P7" s="1" t="n">
        <v>0.0002</v>
      </c>
      <c r="Q7" s="1" t="n">
        <v>0.0008</v>
      </c>
      <c r="R7" s="1" t="n">
        <v>0.27</v>
      </c>
      <c r="S7" s="1" t="n">
        <v>18</v>
      </c>
      <c r="T7" s="1" t="n">
        <v>52.2864</v>
      </c>
      <c r="U7" s="1" t="n">
        <v>52.2864</v>
      </c>
      <c r="V7" s="1" t="n">
        <v>0</v>
      </c>
      <c r="W7" s="1" t="n">
        <v>0.3</v>
      </c>
      <c r="X7" s="1" t="n">
        <v>1</v>
      </c>
      <c r="Y7" s="1" t="n">
        <v>49.78</v>
      </c>
      <c r="Z7" s="1" t="n">
        <v>0.19</v>
      </c>
      <c r="AA7" s="1" t="n">
        <v>31.42</v>
      </c>
      <c r="AB7" s="1" t="n">
        <v>0.21</v>
      </c>
      <c r="AC7" s="1" t="n">
        <f aca="false">AD7/J7</f>
        <v>5.85690685289933</v>
      </c>
      <c r="AD7" s="3" t="n">
        <v>0.046</v>
      </c>
      <c r="AE7" s="1" t="n">
        <v>9.2</v>
      </c>
      <c r="AF7" s="1" t="n">
        <v>0</v>
      </c>
    </row>
    <row r="8" customFormat="false" ht="12.8" hidden="false" customHeight="false" outlineLevel="0" collapsed="false">
      <c r="A8" s="1" t="s">
        <v>38</v>
      </c>
      <c r="B8" s="1" t="n">
        <v>45.27</v>
      </c>
      <c r="C8" s="1" t="n">
        <v>25.01</v>
      </c>
      <c r="D8" s="1" t="n">
        <v>0.3</v>
      </c>
      <c r="E8" s="1" t="n">
        <v>0</v>
      </c>
      <c r="F8" s="1" t="n">
        <v>0.00015</v>
      </c>
      <c r="G8" s="1" t="n">
        <v>0.7</v>
      </c>
      <c r="H8" s="1" t="n">
        <v>3.5E-007</v>
      </c>
      <c r="I8" s="1" t="n">
        <v>0.3</v>
      </c>
      <c r="J8" s="1" t="n">
        <f aca="false">3.14159*0.1^2/4</f>
        <v>0.007853975</v>
      </c>
      <c r="K8" s="1" t="n">
        <v>0.0038</v>
      </c>
      <c r="L8" s="1" t="n">
        <v>0.002</v>
      </c>
      <c r="M8" s="1" t="n">
        <f aca="false">SQRT(3.14159)*0.1/2</f>
        <v>0.0886226551170749</v>
      </c>
      <c r="N8" s="1" t="n">
        <v>1</v>
      </c>
      <c r="O8" s="1" t="n">
        <f aca="false">0.005/J8</f>
        <v>0.636620310097753</v>
      </c>
      <c r="P8" s="1" t="n">
        <v>0.0002</v>
      </c>
      <c r="Q8" s="1" t="n">
        <v>0.0008</v>
      </c>
      <c r="R8" s="1" t="n">
        <v>0.27</v>
      </c>
      <c r="S8" s="1" t="n">
        <v>18</v>
      </c>
      <c r="T8" s="1" t="n">
        <v>52.2864</v>
      </c>
      <c r="U8" s="1" t="n">
        <v>52.2864</v>
      </c>
      <c r="V8" s="1" t="n">
        <v>0</v>
      </c>
      <c r="W8" s="1" t="n">
        <v>0.3</v>
      </c>
      <c r="X8" s="1" t="n">
        <v>1</v>
      </c>
      <c r="Y8" s="1" t="n">
        <v>44.91</v>
      </c>
      <c r="Z8" s="1" t="n">
        <v>0.19</v>
      </c>
      <c r="AA8" s="1" t="n">
        <v>25.78</v>
      </c>
      <c r="AB8" s="1" t="n">
        <v>0.21</v>
      </c>
      <c r="AC8" s="1" t="n">
        <f aca="false">AD8/J8</f>
        <v>5.47493466684068</v>
      </c>
      <c r="AD8" s="3" t="n">
        <v>0.043</v>
      </c>
      <c r="AE8" s="1" t="n">
        <v>8.6</v>
      </c>
      <c r="AF8" s="1" t="n">
        <v>0</v>
      </c>
    </row>
    <row r="9" customFormat="false" ht="12.8" hidden="false" customHeight="false" outlineLevel="0" collapsed="false">
      <c r="A9" s="1" t="s">
        <v>39</v>
      </c>
      <c r="B9" s="1" t="n">
        <v>61.8</v>
      </c>
      <c r="C9" s="1" t="n">
        <v>40.04</v>
      </c>
      <c r="D9" s="1" t="n">
        <v>0.3</v>
      </c>
      <c r="E9" s="1" t="n">
        <v>0</v>
      </c>
      <c r="F9" s="1" t="n">
        <v>0.00015</v>
      </c>
      <c r="G9" s="1" t="n">
        <v>0.7</v>
      </c>
      <c r="H9" s="1" t="n">
        <v>3.5E-007</v>
      </c>
      <c r="I9" s="1" t="n">
        <v>0.3</v>
      </c>
      <c r="J9" s="1" t="n">
        <f aca="false">3.14159*0.1^2/4</f>
        <v>0.007853975</v>
      </c>
      <c r="K9" s="1" t="n">
        <v>0.0038</v>
      </c>
      <c r="L9" s="1" t="n">
        <v>0.002</v>
      </c>
      <c r="M9" s="1" t="n">
        <f aca="false">SQRT(3.14159)*0.1/2</f>
        <v>0.0886226551170749</v>
      </c>
      <c r="N9" s="1" t="n">
        <v>1</v>
      </c>
      <c r="O9" s="1" t="n">
        <f aca="false">0.005/J9</f>
        <v>0.636620310097753</v>
      </c>
      <c r="P9" s="1" t="n">
        <v>0.0002</v>
      </c>
      <c r="Q9" s="1" t="n">
        <v>0.0008</v>
      </c>
      <c r="R9" s="1" t="n">
        <v>0.27</v>
      </c>
      <c r="S9" s="1" t="n">
        <v>18</v>
      </c>
      <c r="T9" s="1" t="n">
        <v>52.2864</v>
      </c>
      <c r="U9" s="1" t="n">
        <v>52.2864</v>
      </c>
      <c r="V9" s="1" t="n">
        <v>0</v>
      </c>
      <c r="W9" s="1" t="n">
        <v>0.3</v>
      </c>
      <c r="X9" s="1" t="n">
        <v>1</v>
      </c>
      <c r="Y9" s="1" t="n">
        <v>60.72</v>
      </c>
      <c r="Z9" s="1" t="n">
        <v>0.19</v>
      </c>
      <c r="AA9" s="1" t="n">
        <v>41</v>
      </c>
      <c r="AB9" s="1" t="n">
        <v>0.21</v>
      </c>
      <c r="AC9" s="1" t="n">
        <f aca="false">AD9/J9</f>
        <v>9.16733246540764</v>
      </c>
      <c r="AD9" s="3" t="n">
        <v>0.072</v>
      </c>
      <c r="AE9" s="1" t="n">
        <v>14.4</v>
      </c>
      <c r="AF9" s="1" t="n">
        <v>0</v>
      </c>
    </row>
    <row r="10" customFormat="false" ht="12.8" hidden="false" customHeight="false" outlineLevel="0" collapsed="false">
      <c r="A10" s="1" t="s">
        <v>40</v>
      </c>
      <c r="B10" s="1" t="n">
        <v>38.69</v>
      </c>
      <c r="C10" s="1" t="n">
        <v>19.62</v>
      </c>
      <c r="D10" s="1" t="n">
        <v>0.3</v>
      </c>
      <c r="E10" s="1" t="n">
        <v>0</v>
      </c>
      <c r="F10" s="1" t="n">
        <v>0.00015</v>
      </c>
      <c r="G10" s="1" t="n">
        <v>0.7</v>
      </c>
      <c r="H10" s="1" t="n">
        <v>3.5E-007</v>
      </c>
      <c r="I10" s="1" t="n">
        <v>0.3</v>
      </c>
      <c r="J10" s="1" t="n">
        <f aca="false">3.14159*0.1^2/4</f>
        <v>0.007853975</v>
      </c>
      <c r="K10" s="1" t="n">
        <v>0.0038</v>
      </c>
      <c r="L10" s="1" t="n">
        <v>0.002</v>
      </c>
      <c r="M10" s="1" t="n">
        <f aca="false">SQRT(3.14159)*0.1/2</f>
        <v>0.0886226551170749</v>
      </c>
      <c r="N10" s="1" t="n">
        <v>1</v>
      </c>
      <c r="O10" s="1" t="n">
        <f aca="false">0.005/J10</f>
        <v>0.636620310097753</v>
      </c>
      <c r="P10" s="1" t="n">
        <v>0.0002</v>
      </c>
      <c r="Q10" s="1" t="n">
        <v>0.0008</v>
      </c>
      <c r="R10" s="1" t="n">
        <v>0.27</v>
      </c>
      <c r="S10" s="1" t="n">
        <v>18</v>
      </c>
      <c r="T10" s="1" t="n">
        <v>52.2864</v>
      </c>
      <c r="U10" s="1" t="n">
        <v>52.2864</v>
      </c>
      <c r="V10" s="1" t="n">
        <v>0</v>
      </c>
      <c r="W10" s="1" t="n">
        <v>0.3</v>
      </c>
      <c r="X10" s="1" t="n">
        <v>1</v>
      </c>
      <c r="Y10" s="1" t="n">
        <v>38.31</v>
      </c>
      <c r="Z10" s="1" t="n">
        <v>0.19</v>
      </c>
      <c r="AA10" s="1" t="n">
        <v>20.18</v>
      </c>
      <c r="AB10" s="1" t="n">
        <v>0.21</v>
      </c>
      <c r="AC10" s="1" t="n">
        <f aca="false">AD10/J10</f>
        <v>3.43774967452787</v>
      </c>
      <c r="AD10" s="3" t="n">
        <v>0.027</v>
      </c>
      <c r="AE10" s="1" t="n">
        <v>5.4</v>
      </c>
      <c r="AF10" s="1" t="n">
        <v>0</v>
      </c>
    </row>
    <row r="11" customFormat="false" ht="12.8" hidden="false" customHeight="false" outlineLevel="0" collapsed="false">
      <c r="A11" s="1" t="s">
        <v>41</v>
      </c>
      <c r="B11" s="1" t="n">
        <v>61.27</v>
      </c>
      <c r="C11" s="1" t="n">
        <v>40.6</v>
      </c>
      <c r="D11" s="1" t="n">
        <v>0.3</v>
      </c>
      <c r="E11" s="1" t="n">
        <v>0</v>
      </c>
      <c r="F11" s="1" t="n">
        <v>0.00015</v>
      </c>
      <c r="G11" s="1" t="n">
        <v>0.7</v>
      </c>
      <c r="H11" s="1" t="n">
        <v>3.5E-007</v>
      </c>
      <c r="I11" s="1" t="n">
        <v>0.3</v>
      </c>
      <c r="J11" s="1" t="n">
        <f aca="false">3.14159*0.1^2/4</f>
        <v>0.007853975</v>
      </c>
      <c r="K11" s="1" t="n">
        <v>0.0038</v>
      </c>
      <c r="L11" s="1" t="n">
        <v>0.002</v>
      </c>
      <c r="M11" s="1" t="n">
        <f aca="false">SQRT(3.14159)*0.1/2</f>
        <v>0.0886226551170749</v>
      </c>
      <c r="N11" s="1" t="n">
        <v>1</v>
      </c>
      <c r="O11" s="1" t="n">
        <f aca="false">0.005/J11</f>
        <v>0.636620310097753</v>
      </c>
      <c r="P11" s="1" t="n">
        <v>0.0002</v>
      </c>
      <c r="Q11" s="1" t="n">
        <v>0.0008</v>
      </c>
      <c r="R11" s="1" t="n">
        <v>0.27</v>
      </c>
      <c r="S11" s="1" t="n">
        <v>18</v>
      </c>
      <c r="T11" s="1" t="n">
        <v>52.2864</v>
      </c>
      <c r="U11" s="1" t="n">
        <v>52.2864</v>
      </c>
      <c r="V11" s="1" t="n">
        <v>0</v>
      </c>
      <c r="W11" s="1" t="n">
        <v>0.3</v>
      </c>
      <c r="X11" s="1" t="n">
        <v>1</v>
      </c>
      <c r="Y11" s="1" t="n">
        <v>60.39</v>
      </c>
      <c r="Z11" s="1" t="n">
        <v>0.19</v>
      </c>
      <c r="AA11" s="1" t="n">
        <v>41.47</v>
      </c>
      <c r="AB11" s="1" t="n">
        <v>0.21</v>
      </c>
      <c r="AC11" s="1" t="n">
        <f aca="false">AD11/J11</f>
        <v>7.76676778319259</v>
      </c>
      <c r="AD11" s="3" t="n">
        <v>0.061</v>
      </c>
      <c r="AE11" s="1" t="n">
        <v>12.2</v>
      </c>
      <c r="AF11" s="1" t="n">
        <v>0</v>
      </c>
    </row>
    <row r="12" customFormat="false" ht="12.8" hidden="false" customHeight="false" outlineLevel="0" collapsed="false">
      <c r="A12" s="1" t="s">
        <v>42</v>
      </c>
      <c r="B12" s="1" t="n">
        <v>39.8</v>
      </c>
      <c r="C12" s="1" t="n">
        <v>19.99</v>
      </c>
      <c r="D12" s="1" t="n">
        <v>0.3</v>
      </c>
      <c r="E12" s="1" t="n">
        <v>0</v>
      </c>
      <c r="F12" s="1" t="n">
        <v>0.00015</v>
      </c>
      <c r="G12" s="1" t="n">
        <v>0.7</v>
      </c>
      <c r="H12" s="1" t="n">
        <v>3.5E-007</v>
      </c>
      <c r="I12" s="1" t="n">
        <v>0.3</v>
      </c>
      <c r="J12" s="1" t="n">
        <f aca="false">3.14159*0.1^2/4</f>
        <v>0.007853975</v>
      </c>
      <c r="K12" s="1" t="n">
        <v>0.0038</v>
      </c>
      <c r="L12" s="1" t="n">
        <v>0.002</v>
      </c>
      <c r="M12" s="1" t="n">
        <f aca="false">SQRT(3.14159)*0.1/2</f>
        <v>0.0886226551170749</v>
      </c>
      <c r="N12" s="1" t="n">
        <v>1</v>
      </c>
      <c r="O12" s="1" t="n">
        <f aca="false">0.005/J12</f>
        <v>0.636620310097753</v>
      </c>
      <c r="P12" s="1" t="n">
        <v>0.0002</v>
      </c>
      <c r="Q12" s="1" t="n">
        <v>0.0008</v>
      </c>
      <c r="R12" s="1" t="n">
        <v>0.27</v>
      </c>
      <c r="S12" s="1" t="n">
        <v>18</v>
      </c>
      <c r="T12" s="1" t="n">
        <v>52.2864</v>
      </c>
      <c r="U12" s="1" t="n">
        <v>52.2864</v>
      </c>
      <c r="V12" s="1" t="n">
        <v>0</v>
      </c>
      <c r="W12" s="1" t="n">
        <v>0.3</v>
      </c>
      <c r="X12" s="1" t="n">
        <v>1</v>
      </c>
      <c r="Y12" s="1" t="n">
        <v>39.19</v>
      </c>
      <c r="Z12" s="1" t="n">
        <v>0.19</v>
      </c>
      <c r="AA12" s="1" t="n">
        <v>20.64</v>
      </c>
      <c r="AB12" s="1" t="n">
        <v>0.21</v>
      </c>
      <c r="AC12" s="1" t="n">
        <f aca="false">AD12/J12</f>
        <v>3.69239779856697</v>
      </c>
      <c r="AD12" s="3" t="n">
        <v>0.029</v>
      </c>
      <c r="AE12" s="1" t="n">
        <v>5.8</v>
      </c>
      <c r="AF12" s="1" t="n">
        <v>0</v>
      </c>
    </row>
    <row r="13" customFormat="false" ht="12.8" hidden="false" customHeight="false" outlineLevel="0" collapsed="false">
      <c r="A13" s="1" t="s">
        <v>43</v>
      </c>
      <c r="B13" s="1" t="n">
        <v>38.87</v>
      </c>
      <c r="C13" s="1" t="n">
        <v>19.55</v>
      </c>
      <c r="D13" s="1" t="n">
        <v>0.3</v>
      </c>
      <c r="E13" s="1" t="n">
        <v>0</v>
      </c>
      <c r="F13" s="1" t="n">
        <v>0.00015</v>
      </c>
      <c r="G13" s="1" t="n">
        <v>0.7</v>
      </c>
      <c r="H13" s="1" t="n">
        <v>3.5E-007</v>
      </c>
      <c r="I13" s="1" t="n">
        <v>0.3</v>
      </c>
      <c r="J13" s="1" t="n">
        <f aca="false">3.14159*0.1^2/4</f>
        <v>0.007853975</v>
      </c>
      <c r="K13" s="1" t="n">
        <v>0.0038</v>
      </c>
      <c r="L13" s="1" t="n">
        <v>0.002</v>
      </c>
      <c r="M13" s="1" t="n">
        <f aca="false">SQRT(3.14159)*0.1/2</f>
        <v>0.0886226551170749</v>
      </c>
      <c r="N13" s="1" t="n">
        <v>1</v>
      </c>
      <c r="O13" s="1" t="n">
        <f aca="false">0.005/J13</f>
        <v>0.636620310097753</v>
      </c>
      <c r="P13" s="1" t="n">
        <v>0.0002</v>
      </c>
      <c r="Q13" s="1" t="n">
        <v>0.0008</v>
      </c>
      <c r="R13" s="1" t="n">
        <v>0.27</v>
      </c>
      <c r="S13" s="1" t="n">
        <v>18</v>
      </c>
      <c r="T13" s="1" t="n">
        <v>52.2864</v>
      </c>
      <c r="U13" s="1" t="n">
        <v>52.2864</v>
      </c>
      <c r="V13" s="1" t="n">
        <v>0</v>
      </c>
      <c r="W13" s="1" t="n">
        <v>0.3</v>
      </c>
      <c r="X13" s="1" t="n">
        <v>1</v>
      </c>
      <c r="Y13" s="1" t="n">
        <v>38.42</v>
      </c>
      <c r="Z13" s="1" t="n">
        <v>0.19</v>
      </c>
      <c r="AA13" s="1" t="n">
        <v>20.25</v>
      </c>
      <c r="AB13" s="1" t="n">
        <v>0.21</v>
      </c>
      <c r="AC13" s="1" t="n">
        <f aca="false">AD13/J13</f>
        <v>4.20169404664517</v>
      </c>
      <c r="AD13" s="3" t="n">
        <v>0.033</v>
      </c>
      <c r="AE13" s="1" t="n">
        <v>6.6</v>
      </c>
      <c r="AF13" s="1" t="n">
        <v>0</v>
      </c>
    </row>
    <row r="14" customFormat="false" ht="12.8" hidden="false" customHeight="false" outlineLevel="0" collapsed="false">
      <c r="A14" s="1" t="s">
        <v>44</v>
      </c>
      <c r="B14" s="1" t="n">
        <v>60.51</v>
      </c>
      <c r="C14" s="1" t="n">
        <v>39.68</v>
      </c>
      <c r="D14" s="1" t="n">
        <v>0.3</v>
      </c>
      <c r="E14" s="1" t="n">
        <v>0</v>
      </c>
      <c r="F14" s="1" t="n">
        <v>0.00015</v>
      </c>
      <c r="G14" s="1" t="n">
        <v>0.7</v>
      </c>
      <c r="H14" s="1" t="n">
        <v>3.5E-007</v>
      </c>
      <c r="I14" s="1" t="n">
        <v>0.3</v>
      </c>
      <c r="J14" s="1" t="n">
        <f aca="false">3.14159*0.1^2/4</f>
        <v>0.007853975</v>
      </c>
      <c r="K14" s="1" t="n">
        <v>0.0038</v>
      </c>
      <c r="L14" s="1" t="n">
        <v>0.002</v>
      </c>
      <c r="M14" s="1" t="n">
        <f aca="false">SQRT(3.14159)*0.1/2</f>
        <v>0.0886226551170749</v>
      </c>
      <c r="N14" s="1" t="n">
        <v>1</v>
      </c>
      <c r="O14" s="1" t="n">
        <f aca="false">0.005/J14</f>
        <v>0.636620310097753</v>
      </c>
      <c r="P14" s="1" t="n">
        <v>0.0002</v>
      </c>
      <c r="Q14" s="1" t="n">
        <v>0.0008</v>
      </c>
      <c r="R14" s="1" t="n">
        <v>0.27</v>
      </c>
      <c r="S14" s="1" t="n">
        <v>18</v>
      </c>
      <c r="T14" s="1" t="n">
        <v>52.2864</v>
      </c>
      <c r="U14" s="1" t="n">
        <v>52.2864</v>
      </c>
      <c r="V14" s="1" t="n">
        <v>0</v>
      </c>
      <c r="W14" s="1" t="n">
        <v>0.3</v>
      </c>
      <c r="X14" s="1" t="n">
        <v>1</v>
      </c>
      <c r="Y14" s="1" t="n">
        <v>60.21</v>
      </c>
      <c r="Z14" s="1" t="n">
        <v>0.19</v>
      </c>
      <c r="AA14" s="1" t="n">
        <v>40.75</v>
      </c>
      <c r="AB14" s="1" t="n">
        <v>0.21</v>
      </c>
      <c r="AC14" s="1" t="n">
        <f aca="false">AD14/J14</f>
        <v>8.78536027934899</v>
      </c>
      <c r="AD14" s="3" t="n">
        <v>0.069</v>
      </c>
      <c r="AE14" s="1" t="n">
        <v>13.8</v>
      </c>
      <c r="AF14" s="1" t="n">
        <v>0</v>
      </c>
    </row>
    <row r="15" customFormat="false" ht="12.8" hidden="false" customHeight="false" outlineLevel="0" collapsed="false">
      <c r="A15" s="1" t="s">
        <v>45</v>
      </c>
      <c r="B15" s="1" t="n">
        <v>80.51</v>
      </c>
      <c r="C15" s="1" t="n">
        <v>59.95</v>
      </c>
      <c r="D15" s="1" t="n">
        <v>0.3</v>
      </c>
      <c r="E15" s="1" t="n">
        <v>0</v>
      </c>
      <c r="F15" s="1" t="n">
        <v>0.00015</v>
      </c>
      <c r="G15" s="1" t="n">
        <v>0.7</v>
      </c>
      <c r="H15" s="1" t="n">
        <v>3.5E-007</v>
      </c>
      <c r="I15" s="1" t="n">
        <v>0.3</v>
      </c>
      <c r="J15" s="1" t="n">
        <f aca="false">3.14159*0.1^2/4</f>
        <v>0.007853975</v>
      </c>
      <c r="K15" s="1" t="n">
        <v>0.0038</v>
      </c>
      <c r="L15" s="1" t="n">
        <v>0.002</v>
      </c>
      <c r="M15" s="1" t="n">
        <f aca="false">SQRT(3.14159)*0.1/2</f>
        <v>0.0886226551170749</v>
      </c>
      <c r="N15" s="1" t="n">
        <v>1</v>
      </c>
      <c r="O15" s="1" t="n">
        <f aca="false">0.005/J15</f>
        <v>0.636620310097753</v>
      </c>
      <c r="P15" s="1" t="n">
        <v>0.0002</v>
      </c>
      <c r="Q15" s="1" t="n">
        <v>0.0008</v>
      </c>
      <c r="R15" s="1" t="n">
        <v>0.27</v>
      </c>
      <c r="S15" s="1" t="n">
        <v>18</v>
      </c>
      <c r="T15" s="1" t="n">
        <v>52.2864</v>
      </c>
      <c r="U15" s="1" t="n">
        <v>52.2864</v>
      </c>
      <c r="V15" s="1" t="n">
        <v>0</v>
      </c>
      <c r="W15" s="1" t="n">
        <v>0.3</v>
      </c>
      <c r="X15" s="1" t="n">
        <v>1</v>
      </c>
      <c r="Y15" s="1" t="n">
        <v>80.4</v>
      </c>
      <c r="Z15" s="1" t="n">
        <v>0.19</v>
      </c>
      <c r="AA15" s="1" t="n">
        <v>61.49</v>
      </c>
      <c r="AB15" s="1" t="n">
        <v>0.21</v>
      </c>
      <c r="AC15" s="1" t="n">
        <f aca="false">AD15/J15</f>
        <v>15.5335355663852</v>
      </c>
      <c r="AD15" s="3" t="n">
        <v>0.122</v>
      </c>
      <c r="AE15" s="1" t="n">
        <v>24.4</v>
      </c>
      <c r="AF15" s="1" t="n">
        <v>0</v>
      </c>
    </row>
    <row r="16" customFormat="false" ht="12.8" hidden="false" customHeight="false" outlineLevel="0" collapsed="false">
      <c r="A16" s="1" t="s">
        <v>46</v>
      </c>
      <c r="B16" s="1" t="n">
        <v>80.8</v>
      </c>
      <c r="C16" s="1" t="n">
        <v>60.09</v>
      </c>
      <c r="D16" s="1" t="n">
        <v>0.3</v>
      </c>
      <c r="E16" s="1" t="n">
        <v>0</v>
      </c>
      <c r="F16" s="1" t="n">
        <v>0.00015</v>
      </c>
      <c r="G16" s="1" t="n">
        <v>0.7</v>
      </c>
      <c r="H16" s="1" t="n">
        <v>3.5E-007</v>
      </c>
      <c r="I16" s="1" t="n">
        <v>0.3</v>
      </c>
      <c r="J16" s="1" t="n">
        <f aca="false">3.14159*0.1^2/4</f>
        <v>0.007853975</v>
      </c>
      <c r="K16" s="1" t="n">
        <v>0.0038</v>
      </c>
      <c r="L16" s="1" t="n">
        <v>0.002</v>
      </c>
      <c r="M16" s="1" t="n">
        <f aca="false">SQRT(3.14159)*0.1/2</f>
        <v>0.0886226551170749</v>
      </c>
      <c r="N16" s="1" t="n">
        <v>1</v>
      </c>
      <c r="O16" s="1" t="n">
        <f aca="false">0.005/J16</f>
        <v>0.636620310097753</v>
      </c>
      <c r="P16" s="1" t="n">
        <v>0.0002</v>
      </c>
      <c r="Q16" s="1" t="n">
        <v>0.0008</v>
      </c>
      <c r="R16" s="1" t="n">
        <v>0.27</v>
      </c>
      <c r="S16" s="1" t="n">
        <v>18</v>
      </c>
      <c r="T16" s="1" t="n">
        <v>52.2864</v>
      </c>
      <c r="U16" s="1" t="n">
        <v>52.2864</v>
      </c>
      <c r="V16" s="1" t="n">
        <v>0</v>
      </c>
      <c r="W16" s="1" t="n">
        <v>0.3</v>
      </c>
      <c r="X16" s="1" t="n">
        <v>1</v>
      </c>
      <c r="Y16" s="1" t="n">
        <v>79.57</v>
      </c>
      <c r="Z16" s="1" t="n">
        <v>0.19</v>
      </c>
      <c r="AA16" s="1" t="n">
        <v>61.42</v>
      </c>
      <c r="AB16" s="1" t="n">
        <v>0.21</v>
      </c>
      <c r="AC16" s="1" t="n">
        <f aca="false">AD16/J16</f>
        <v>15.1515633803265</v>
      </c>
      <c r="AD16" s="3" t="n">
        <v>0.119</v>
      </c>
      <c r="AE16" s="1" t="n">
        <v>23.8</v>
      </c>
      <c r="AF16" s="1" t="n">
        <v>0</v>
      </c>
    </row>
    <row r="17" customFormat="false" ht="12.8" hidden="false" customHeight="false" outlineLevel="0" collapsed="false">
      <c r="A17" s="1" t="s">
        <v>47</v>
      </c>
      <c r="B17" s="1" t="n">
        <v>81.27</v>
      </c>
      <c r="C17" s="1" t="n">
        <v>60.16</v>
      </c>
      <c r="D17" s="1" t="n">
        <v>0.3</v>
      </c>
      <c r="E17" s="1" t="n">
        <v>0</v>
      </c>
      <c r="F17" s="1" t="n">
        <v>0.00015</v>
      </c>
      <c r="G17" s="1" t="n">
        <v>0.7</v>
      </c>
      <c r="H17" s="1" t="n">
        <v>3.5E-007</v>
      </c>
      <c r="I17" s="1" t="n">
        <v>0.3</v>
      </c>
      <c r="J17" s="1" t="n">
        <f aca="false">3.14159*0.1^2/4</f>
        <v>0.007853975</v>
      </c>
      <c r="K17" s="1" t="n">
        <v>0.0038</v>
      </c>
      <c r="L17" s="1" t="n">
        <v>0.002</v>
      </c>
      <c r="M17" s="1" t="n">
        <f aca="false">SQRT(3.14159)*0.1/2</f>
        <v>0.0886226551170749</v>
      </c>
      <c r="N17" s="1" t="n">
        <v>1</v>
      </c>
      <c r="O17" s="1" t="n">
        <f aca="false">0.005/J17</f>
        <v>0.636620310097753</v>
      </c>
      <c r="P17" s="1" t="n">
        <v>0.0002</v>
      </c>
      <c r="Q17" s="1" t="n">
        <v>0.0008</v>
      </c>
      <c r="R17" s="1" t="n">
        <v>0.27</v>
      </c>
      <c r="S17" s="1" t="n">
        <v>18</v>
      </c>
      <c r="T17" s="1" t="n">
        <v>52.2864</v>
      </c>
      <c r="U17" s="1" t="n">
        <v>52.2864</v>
      </c>
      <c r="V17" s="1" t="n">
        <v>0</v>
      </c>
      <c r="W17" s="1" t="n">
        <v>0.3</v>
      </c>
      <c r="X17" s="1" t="n">
        <v>1</v>
      </c>
      <c r="Y17" s="1" t="n">
        <v>79.98</v>
      </c>
      <c r="Z17" s="1" t="n">
        <v>0.19</v>
      </c>
      <c r="AA17" s="1" t="n">
        <v>61.16</v>
      </c>
      <c r="AB17" s="1" t="n">
        <v>0.21</v>
      </c>
      <c r="AC17" s="1" t="n">
        <f aca="false">AD17/J17</f>
        <v>11.4591655817596</v>
      </c>
      <c r="AD17" s="3" t="n">
        <v>0.09</v>
      </c>
      <c r="AE17" s="1" t="n">
        <v>18</v>
      </c>
      <c r="AF17" s="1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1761</TotalTime>
  <Application>LibreOffice/25.8.6.1$Windows_X86_64 LibreOffice_project/85297ec6e49ec4e6faaa6f11880d49294fc70e60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2026-07-02T15:27:52Z</dcterms:modified>
  <cp:revision>44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