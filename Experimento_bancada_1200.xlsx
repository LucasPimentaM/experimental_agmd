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rimentos_adaptad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<sst xmlns="http://schemas.openxmlformats.org/spreadsheetml/2006/main" count="74" uniqueCount="74">
  <si>
    <t xml:space="preserve">Case</t>
  </si>
  <si>
    <t xml:space="preserve">Feed temperature at the inlet (°C)</t>
  </si>
  <si>
    <t xml:space="preserve">Coolant temperature at the inlet (°C)</t>
  </si>
  <si>
    <t xml:space="preserve">Feed salinity at the inlet (g/L)</t>
  </si>
  <si>
    <t xml:space="preserve">Barium concentration at the inlet (g/L)</t>
  </si>
  <si>
    <t xml:space="preserve">Membrane thickness (m)</t>
  </si>
  <si>
    <t xml:space="preserve">Membrane porosity</t>
  </si>
  <si>
    <t xml:space="preserve">Pore diameter (m)</t>
  </si>
  <si>
    <t xml:space="preserve">Polymer conductivity (W/mK)</t>
  </si>
  <si>
    <t xml:space="preserve">Membrane area (m²)</t>
  </si>
  <si>
    <t xml:space="preserve">Feed channel height (m)</t>
  </si>
  <si>
    <t xml:space="preserve">Cold channel height (m)</t>
  </si>
  <si>
    <t xml:space="preserve">Channel width (m)</t>
  </si>
  <si>
    <t xml:space="preserve">Spacer porosity</t>
  </si>
  <si>
    <t xml:space="preserve">Gap spacer porosity</t>
  </si>
  <si>
    <t xml:space="preserve">Air gap thickness (m)</t>
  </si>
  <si>
    <t xml:space="preserve">Wall thickness (m)</t>
  </si>
  <si>
    <t xml:space="preserve">Spacer thermal conductivity (W/mK)</t>
  </si>
  <si>
    <t xml:space="preserve">Condensing wall thermal conductivity (W/mK)</t>
  </si>
  <si>
    <t xml:space="preserve">Feed flow rate (L/h)</t>
  </si>
  <si>
    <t xml:space="preserve">Coolant flow rate (L/h)</t>
  </si>
  <si>
    <t xml:space="preserve">Vacuum pressure (Pa)</t>
  </si>
  <si>
    <t xml:space="preserve">Coolant salinity at the inlet (g/L)</t>
  </si>
  <si>
    <t xml:space="preserve">Number of channels</t>
  </si>
  <si>
    <t xml:space="preserve">Feed temperature at the outlet (°C)</t>
  </si>
  <si>
    <t xml:space="preserve">Feed temperature at the outlet uncertainty (°C)</t>
  </si>
  <si>
    <t xml:space="preserve">Coolant temperature at the outlet (°C)</t>
  </si>
  <si>
    <t xml:space="preserve">Coolant temperature at the outlet uncertainty (°C)</t>
  </si>
  <si>
    <t xml:space="preserve">Distilled water flux (L/m²h)</t>
  </si>
  <si>
    <t xml:space="preserve">Distilled water flux (L/h)</t>
  </si>
  <si>
    <t xml:space="preserve">Distilled water flux (L/m²h) 2</t>
  </si>
  <si>
    <t xml:space="preserve">Distilled water flux uncertainty (L/m²h)</t>
  </si>
  <si>
    <t xml:space="preserve">Case 1</t>
  </si>
  <si>
    <t xml:space="preserve">Case 2</t>
  </si>
  <si>
    <t xml:space="preserve">Case 3</t>
  </si>
  <si>
    <t xml:space="preserve">Case 4</t>
  </si>
  <si>
    <t xml:space="preserve">Case 5</t>
  </si>
  <si>
    <t xml:space="preserve">Case 6</t>
  </si>
  <si>
    <t xml:space="preserve">Case 7</t>
  </si>
  <si>
    <t xml:space="preserve">Case 8</t>
  </si>
  <si>
    <t xml:space="preserve">Case 9</t>
  </si>
  <si>
    <t xml:space="preserve">Case 10</t>
  </si>
  <si>
    <t xml:space="preserve">Case 11</t>
  </si>
  <si>
    <t xml:space="preserve">Case 12</t>
  </si>
  <si>
    <t xml:space="preserve">Case 13</t>
  </si>
  <si>
    <t xml:space="preserve">Case 14</t>
  </si>
  <si>
    <t xml:space="preserve">Case 15</t>
  </si>
  <si>
    <t xml:space="preserve">Case 16</t>
  </si>
  <si>
    <t xml:space="preserve">Case 17</t>
  </si>
  <si>
    <t xml:space="preserve">Case 18</t>
  </si>
  <si>
    <t xml:space="preserve">Case 19</t>
  </si>
  <si>
    <t xml:space="preserve">Case 20</t>
  </si>
  <si>
    <t xml:space="preserve">Case 21</t>
  </si>
  <si>
    <t xml:space="preserve">Case 22</t>
  </si>
  <si>
    <t xml:space="preserve">Case 23</t>
  </si>
  <si>
    <t xml:space="preserve">Case 24</t>
  </si>
  <si>
    <t xml:space="preserve">Case 25</t>
  </si>
  <si>
    <t xml:space="preserve">Case 26</t>
  </si>
  <si>
    <t xml:space="preserve">Case 27</t>
  </si>
  <si>
    <t xml:space="preserve">Case 28</t>
  </si>
  <si>
    <t xml:space="preserve">Case 29</t>
  </si>
  <si>
    <t xml:space="preserve">Case 30</t>
  </si>
  <si>
    <t xml:space="preserve">Case 31</t>
  </si>
  <si>
    <t xml:space="preserve">Case 32</t>
  </si>
  <si>
    <t xml:space="preserve">Case 33</t>
  </si>
  <si>
    <t xml:space="preserve">Case 34</t>
  </si>
  <si>
    <t xml:space="preserve">Case 35</t>
  </si>
  <si>
    <t xml:space="preserve">Case 36</t>
  </si>
  <si>
    <t xml:space="preserve">Case 37</t>
  </si>
  <si>
    <t xml:space="preserve">Case 38</t>
  </si>
  <si>
    <t xml:space="preserve">Case 39</t>
  </si>
  <si>
    <t xml:space="preserve">Case 40</t>
  </si>
  <si>
    <t xml:space="preserve">Case 41</t>
  </si>
  <si>
    <t xml:space="preserve">Case 42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</si>
</sst>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1" activeCellId="0" sqref="D5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8.25"/>
    <col collapsed="false" customWidth="true" hidden="false" outlineLevel="0" max="2" min="2" style="1" width="28.42"/>
    <col collapsed="false" customWidth="true" hidden="false" outlineLevel="0" max="3" min="3" style="1" width="30.51"/>
    <col collapsed="false" customWidth="true" hidden="false" outlineLevel="0" max="4" min="4" style="1" width="25.08"/>
    <col collapsed="false" customWidth="true" hidden="false" outlineLevel="0" max="5" min="5" style="1" width="31.9"/>
    <col collapsed="false" customWidth="true" hidden="false" outlineLevel="0" max="6" min="6" style="1" width="21.6"/>
    <col collapsed="false" customWidth="true" hidden="false" outlineLevel="0" max="7" min="7" style="1" width="17.01"/>
    <col collapsed="false" customWidth="true" hidden="false" outlineLevel="0" max="8" min="8" style="1" width="16.04"/>
    <col collapsed="false" customWidth="true" hidden="false" outlineLevel="0" max="9" min="9" style="1" width="25.24"/>
    <col collapsed="false" customWidth="true" hidden="false" outlineLevel="0" max="10" min="10" style="1" width="17.85"/>
    <col collapsed="false" customWidth="true" hidden="false" outlineLevel="0" max="11" min="11" style="1" width="21.04"/>
    <col collapsed="false" customWidth="true" hidden="false" outlineLevel="0" max="12" min="12" style="1" width="20.63"/>
    <col collapsed="false" customWidth="true" hidden="false" outlineLevel="0" max="13" min="13" style="1" width="16.04"/>
    <col collapsed="false" customWidth="true" hidden="false" outlineLevel="0" max="14" min="14" style="1" width="14.23"/>
    <col collapsed="false" customWidth="true" hidden="false" outlineLevel="0" max="15" min="15" style="1" width="17.85"/>
    <col collapsed="false" customWidth="true" hidden="false" outlineLevel="0" max="16" min="16" style="1" width="18.82"/>
    <col collapsed="false" customWidth="true" hidden="false" outlineLevel="0" max="17" min="17" style="1" width="16.58"/>
    <col collapsed="false" customWidth="true" hidden="false" outlineLevel="0" max="18" min="18" style="1" width="30.78"/>
    <col collapsed="false" customWidth="true" hidden="false" outlineLevel="0" max="19" min="19" style="1" width="38.16"/>
    <col collapsed="false" customWidth="true" hidden="false" outlineLevel="0" max="20" min="20" style="1" width="17.15"/>
    <col collapsed="false" customWidth="true" hidden="false" outlineLevel="0" max="21" min="21" style="1" width="19.24"/>
    <col collapsed="false" customWidth="true" hidden="false" outlineLevel="0" max="22" min="22" style="1" width="19.66"/>
    <col collapsed="false" customWidth="true" hidden="false" outlineLevel="0" max="23" min="23" style="1" width="27.17"/>
    <col collapsed="false" customWidth="true" hidden="false" outlineLevel="0" max="24" min="24" style="1" width="17.71"/>
    <col collapsed="false" customWidth="true" hidden="false" outlineLevel="0" max="25" min="25" style="1" width="29.53"/>
    <col collapsed="false" customWidth="true" hidden="false" outlineLevel="0" max="26" min="26" style="1" width="39"/>
    <col collapsed="false" customWidth="true" hidden="false" outlineLevel="0" max="27" min="27" style="1" width="31.62"/>
    <col collapsed="false" customWidth="true" hidden="false" outlineLevel="0" max="28" min="28" style="1" width="41.08"/>
    <col collapsed="false" customWidth="true" hidden="false" outlineLevel="0" max="29" min="29" style="1" width="22.58"/>
    <col collapsed="false" customWidth="true" hidden="false" outlineLevel="0" max="32" min="30" style="1" width="32.0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</row>
    <row r="2" customFormat="false" ht="12.8" hidden="false" customHeight="false" outlineLevel="0" collapsed="false">
      <c r="A2" s="1" t="s">
        <v>32</v>
      </c>
      <c r="B2" s="1" t="n">
        <v>60.71</v>
      </c>
      <c r="C2" s="1" t="n">
        <v>40.81</v>
      </c>
      <c r="D2" s="1" t="n">
        <v>0.3</v>
      </c>
      <c r="E2" s="1" t="n">
        <v>0</v>
      </c>
      <c r="F2" s="1" t="n">
        <v>0.00015</v>
      </c>
      <c r="G2" s="1" t="n">
        <v>0.7</v>
      </c>
      <c r="H2" s="1" t="n">
        <v>3.5E-007</v>
      </c>
      <c r="I2" s="1" t="n">
        <v>0.3</v>
      </c>
      <c r="J2" s="1" t="n">
        <f aca="false">3.14159*0.1^2/4</f>
        <v>0.007853975</v>
      </c>
      <c r="K2" s="1" t="n">
        <v>0.0038</v>
      </c>
      <c r="L2" s="1" t="n">
        <v>0.002</v>
      </c>
      <c r="M2" s="1" t="n">
        <f aca="false">SQRT(3.14159)*0.1/2</f>
        <v>0.0886226551170749</v>
      </c>
      <c r="N2" s="1" t="n">
        <v>1</v>
      </c>
      <c r="O2" s="1" t="n">
        <f aca="false">0.005/J2</f>
        <v>0.636620310097753</v>
      </c>
      <c r="P2" s="1" t="n">
        <v>0.0002</v>
      </c>
      <c r="Q2" s="1" t="n">
        <v>0.0008</v>
      </c>
      <c r="R2" s="1" t="n">
        <v>0.27</v>
      </c>
      <c r="S2" s="1" t="n">
        <v>18</v>
      </c>
      <c r="T2" s="1" t="n">
        <v>42.9528</v>
      </c>
      <c r="U2" s="1" t="n">
        <f aca="false">T2</f>
        <v>42.9528</v>
      </c>
      <c r="V2" s="1" t="n">
        <v>0</v>
      </c>
      <c r="W2" s="1" t="n">
        <v>0.3</v>
      </c>
      <c r="X2" s="1" t="n">
        <v>1</v>
      </c>
      <c r="Y2" s="1" t="n">
        <v>60.66</v>
      </c>
      <c r="Z2" s="1" t="n">
        <v>0.19</v>
      </c>
      <c r="AA2" s="1" t="n">
        <v>41.54</v>
      </c>
      <c r="AB2" s="1" t="n">
        <v>0.21</v>
      </c>
      <c r="AC2" s="1" t="n">
        <f aca="false">AD2/J2</f>
        <v>31.8310155048877</v>
      </c>
      <c r="AD2" s="3" t="n">
        <v>0.25</v>
      </c>
      <c r="AE2" s="1" t="n">
        <v>50</v>
      </c>
      <c r="AF2" s="1" t="n">
        <v>0</v>
      </c>
    </row>
    <row r="3" customFormat="false" ht="12.8" hidden="false" customHeight="false" outlineLevel="0" collapsed="false">
      <c r="A3" s="1" t="s">
        <v>33</v>
      </c>
      <c r="B3" s="1" t="n">
        <v>50.03</v>
      </c>
      <c r="C3" s="1" t="n">
        <v>30.66</v>
      </c>
      <c r="D3" s="1" t="n">
        <v>0.3</v>
      </c>
      <c r="E3" s="1" t="n">
        <v>0</v>
      </c>
      <c r="F3" s="1" t="n">
        <v>0.00015</v>
      </c>
      <c r="G3" s="1" t="n">
        <v>0.7</v>
      </c>
      <c r="H3" s="1" t="n">
        <v>3.5E-007</v>
      </c>
      <c r="I3" s="1" t="n">
        <v>0.3</v>
      </c>
      <c r="J3" s="1" t="n">
        <f aca="false">3.14159*0.1^2/4</f>
        <v>0.007853975</v>
      </c>
      <c r="K3" s="1" t="n">
        <v>0.0038</v>
      </c>
      <c r="L3" s="1" t="n">
        <v>0.002</v>
      </c>
      <c r="M3" s="1" t="n">
        <f aca="false">SQRT(3.14159)*0.1/2</f>
        <v>0.0886226551170749</v>
      </c>
      <c r="N3" s="1" t="n">
        <v>1</v>
      </c>
      <c r="O3" s="1" t="n">
        <f aca="false">0.005/J3</f>
        <v>0.636620310097753</v>
      </c>
      <c r="P3" s="1" t="n">
        <v>0.0002</v>
      </c>
      <c r="Q3" s="1" t="n">
        <v>0.0008</v>
      </c>
      <c r="R3" s="1" t="n">
        <v>0.27</v>
      </c>
      <c r="S3" s="1" t="n">
        <v>18</v>
      </c>
      <c r="T3" s="1" t="n">
        <v>52.2864</v>
      </c>
      <c r="U3" s="1" t="n">
        <v>52.2864</v>
      </c>
      <c r="V3" s="1" t="n">
        <v>0</v>
      </c>
      <c r="W3" s="1" t="n">
        <v>0.3</v>
      </c>
      <c r="X3" s="1" t="n">
        <v>1</v>
      </c>
      <c r="Y3" s="1" t="n">
        <v>49.64</v>
      </c>
      <c r="Z3" s="1" t="n">
        <v>0.19</v>
      </c>
      <c r="AA3" s="1" t="n">
        <v>31.42</v>
      </c>
      <c r="AB3" s="1" t="n">
        <v>0.21</v>
      </c>
      <c r="AC3" s="1" t="n">
        <f aca="false">AD3/J3</f>
        <v>5.85690685289933</v>
      </c>
      <c r="AD3" s="3" t="n">
        <v>0.046</v>
      </c>
      <c r="AE3" s="1" t="n">
        <v>9.2</v>
      </c>
      <c r="AF3" s="1" t="n">
        <v>0</v>
      </c>
    </row>
    <row r="4" customFormat="false" ht="12.8" hidden="false" customHeight="false" outlineLevel="0" collapsed="false">
      <c r="A4" s="1" t="s">
        <v>34</v>
      </c>
      <c r="B4" s="1" t="n">
        <v>51.12</v>
      </c>
      <c r="C4" s="1" t="n">
        <v>30.78</v>
      </c>
      <c r="D4" s="1" t="n">
        <v>0.3</v>
      </c>
      <c r="E4" s="1" t="n">
        <v>0</v>
      </c>
      <c r="F4" s="1" t="n">
        <v>0.00015</v>
      </c>
      <c r="G4" s="1" t="n">
        <v>0.7</v>
      </c>
      <c r="H4" s="1" t="n">
        <v>3.5E-007</v>
      </c>
      <c r="I4" s="1" t="n">
        <v>0.3</v>
      </c>
      <c r="J4" s="1" t="n">
        <f aca="false">3.14159*0.1^2/4</f>
        <v>0.007853975</v>
      </c>
      <c r="K4" s="1" t="n">
        <v>0.0038</v>
      </c>
      <c r="L4" s="1" t="n">
        <v>0.002</v>
      </c>
      <c r="M4" s="1" t="n">
        <f aca="false">SQRT(3.14159)*0.1/2</f>
        <v>0.0886226551170749</v>
      </c>
      <c r="N4" s="1" t="n">
        <v>1</v>
      </c>
      <c r="O4" s="1" t="n">
        <f aca="false">0.005/J4</f>
        <v>0.636620310097753</v>
      </c>
      <c r="P4" s="1" t="n">
        <v>0.0002</v>
      </c>
      <c r="Q4" s="1" t="n">
        <v>0.0008</v>
      </c>
      <c r="R4" s="1" t="n">
        <v>0.27</v>
      </c>
      <c r="S4" s="1" t="n">
        <v>18</v>
      </c>
      <c r="T4" s="1" t="n">
        <v>52.2864</v>
      </c>
      <c r="U4" s="1" t="n">
        <v>52.2864</v>
      </c>
      <c r="V4" s="1" t="n">
        <v>0</v>
      </c>
      <c r="W4" s="1" t="n">
        <v>0.3</v>
      </c>
      <c r="X4" s="1" t="n">
        <v>1</v>
      </c>
      <c r="Y4" s="1" t="n">
        <v>50.78</v>
      </c>
      <c r="Z4" s="1" t="n">
        <v>0.19</v>
      </c>
      <c r="AA4" s="1" t="n">
        <v>31.56</v>
      </c>
      <c r="AB4" s="1" t="n">
        <v>0.21</v>
      </c>
      <c r="AC4" s="1" t="n">
        <f aca="false">AD4/J4</f>
        <v>5.98423091491888</v>
      </c>
      <c r="AD4" s="3" t="n">
        <v>0.047</v>
      </c>
      <c r="AE4" s="1" t="n">
        <v>9.4</v>
      </c>
      <c r="AF4" s="1" t="n">
        <v>0</v>
      </c>
    </row>
    <row r="5" customFormat="false" ht="12.8" hidden="false" customHeight="false" outlineLevel="0" collapsed="false">
      <c r="A5" s="1" t="s">
        <v>35</v>
      </c>
      <c r="B5" s="1" t="n">
        <v>40.26</v>
      </c>
      <c r="C5" s="1" t="n">
        <v>22.16</v>
      </c>
      <c r="D5" s="1" t="n">
        <v>0.3</v>
      </c>
      <c r="E5" s="1" t="n">
        <v>0</v>
      </c>
      <c r="F5" s="1" t="n">
        <v>0.00015</v>
      </c>
      <c r="G5" s="1" t="n">
        <v>0.7</v>
      </c>
      <c r="H5" s="1" t="n">
        <v>3.5E-007</v>
      </c>
      <c r="I5" s="1" t="n">
        <v>0.3</v>
      </c>
      <c r="J5" s="1" t="n">
        <f aca="false">3.14159*0.1^2/4</f>
        <v>0.007853975</v>
      </c>
      <c r="K5" s="1" t="n">
        <v>0.0038</v>
      </c>
      <c r="L5" s="1" t="n">
        <v>0.002</v>
      </c>
      <c r="M5" s="1" t="n">
        <f aca="false">SQRT(3.14159)*0.1/2</f>
        <v>0.0886226551170749</v>
      </c>
      <c r="N5" s="1" t="n">
        <v>1</v>
      </c>
      <c r="O5" s="1" t="n">
        <f aca="false">0.005/J5</f>
        <v>0.636620310097753</v>
      </c>
      <c r="P5" s="1" t="n">
        <v>0.0002</v>
      </c>
      <c r="Q5" s="1" t="n">
        <v>0.0008</v>
      </c>
      <c r="R5" s="1" t="n">
        <v>0.27</v>
      </c>
      <c r="S5" s="1" t="n">
        <v>18</v>
      </c>
      <c r="T5" s="1" t="n">
        <v>61.7646</v>
      </c>
      <c r="U5" s="1" t="n">
        <v>61.7646</v>
      </c>
      <c r="V5" s="1" t="n">
        <v>0</v>
      </c>
      <c r="W5" s="1" t="n">
        <v>0.3</v>
      </c>
      <c r="X5" s="1" t="n">
        <v>1</v>
      </c>
      <c r="Y5" s="1" t="n">
        <v>39.91</v>
      </c>
      <c r="Z5" s="1" t="n">
        <v>0.19</v>
      </c>
      <c r="AA5" s="1" t="n">
        <v>22.71</v>
      </c>
      <c r="AB5" s="1" t="n">
        <v>0.21</v>
      </c>
      <c r="AC5" s="1" t="n">
        <f aca="false">AD5/J5</f>
        <v>4.45634217068427</v>
      </c>
      <c r="AD5" s="3" t="n">
        <v>0.035</v>
      </c>
      <c r="AE5" s="1" t="n">
        <v>7</v>
      </c>
      <c r="AF5" s="1" t="n">
        <v>0</v>
      </c>
    </row>
    <row r="6" customFormat="false" ht="12.8" hidden="false" customHeight="false" outlineLevel="0" collapsed="false">
      <c r="A6" s="1" t="s">
        <v>36</v>
      </c>
      <c r="B6" s="1" t="n">
        <v>60.33</v>
      </c>
      <c r="C6" s="1" t="n">
        <v>40.5</v>
      </c>
      <c r="D6" s="1" t="n">
        <v>0.3</v>
      </c>
      <c r="E6" s="1" t="n">
        <v>0</v>
      </c>
      <c r="F6" s="1" t="n">
        <v>0.00015</v>
      </c>
      <c r="G6" s="1" t="n">
        <v>0.7</v>
      </c>
      <c r="H6" s="1" t="n">
        <v>3.5E-007</v>
      </c>
      <c r="I6" s="1" t="n">
        <v>0.3</v>
      </c>
      <c r="J6" s="1" t="n">
        <f aca="false">3.14159*0.1^2/4</f>
        <v>0.007853975</v>
      </c>
      <c r="K6" s="1" t="n">
        <v>0.0038</v>
      </c>
      <c r="L6" s="1" t="n">
        <v>0.002</v>
      </c>
      <c r="M6" s="1" t="n">
        <f aca="false">SQRT(3.14159)*0.1/2</f>
        <v>0.0886226551170749</v>
      </c>
      <c r="N6" s="1" t="n">
        <v>1</v>
      </c>
      <c r="O6" s="1" t="n">
        <f aca="false">0.005/J6</f>
        <v>0.636620310097753</v>
      </c>
      <c r="P6" s="1" t="n">
        <v>0.0002</v>
      </c>
      <c r="Q6" s="1" t="n">
        <v>0.0008</v>
      </c>
      <c r="R6" s="1" t="n">
        <v>0.27</v>
      </c>
      <c r="S6" s="1" t="n">
        <v>18</v>
      </c>
      <c r="T6" s="1" t="n">
        <v>61.7646</v>
      </c>
      <c r="U6" s="1" t="n">
        <v>61.7646</v>
      </c>
      <c r="V6" s="1" t="n">
        <v>0</v>
      </c>
      <c r="W6" s="1" t="n">
        <v>0.3</v>
      </c>
      <c r="X6" s="1" t="n">
        <v>1</v>
      </c>
      <c r="Y6" s="1" t="n">
        <v>60.04</v>
      </c>
      <c r="Z6" s="1" t="n">
        <v>0.19</v>
      </c>
      <c r="AA6" s="1" t="n">
        <v>41.34</v>
      </c>
      <c r="AB6" s="1" t="n">
        <v>0.21</v>
      </c>
      <c r="AC6" s="1" t="n">
        <f aca="false">AD6/J6</f>
        <v>8.91268434136854</v>
      </c>
      <c r="AD6" s="3" t="n">
        <v>0.07</v>
      </c>
      <c r="AE6" s="1" t="n">
        <v>14</v>
      </c>
      <c r="AF6" s="1" t="n">
        <v>0</v>
      </c>
    </row>
    <row r="7" customFormat="false" ht="12.8" hidden="false" customHeight="false" outlineLevel="0" collapsed="false">
      <c r="A7" s="1" t="s">
        <v>37</v>
      </c>
      <c r="B7" s="1" t="n">
        <v>40.18</v>
      </c>
      <c r="C7" s="1" t="n">
        <v>20.07</v>
      </c>
      <c r="D7" s="1" t="n">
        <v>0.3</v>
      </c>
      <c r="E7" s="1" t="n">
        <v>0</v>
      </c>
      <c r="F7" s="1" t="n">
        <v>0.00015</v>
      </c>
      <c r="G7" s="1" t="n">
        <v>0.7</v>
      </c>
      <c r="H7" s="1" t="n">
        <v>3.5E-007</v>
      </c>
      <c r="I7" s="1" t="n">
        <v>0.3</v>
      </c>
      <c r="J7" s="1" t="n">
        <f aca="false">3.14159*0.1^2/4</f>
        <v>0.007853975</v>
      </c>
      <c r="K7" s="1" t="n">
        <v>0.0038</v>
      </c>
      <c r="L7" s="1" t="n">
        <v>0.002</v>
      </c>
      <c r="M7" s="1" t="n">
        <f aca="false">SQRT(3.14159)*0.1/2</f>
        <v>0.0886226551170749</v>
      </c>
      <c r="N7" s="1" t="n">
        <v>1</v>
      </c>
      <c r="O7" s="1" t="n">
        <f aca="false">0.005/J7</f>
        <v>0.636620310097753</v>
      </c>
      <c r="P7" s="1" t="n">
        <v>0.0002</v>
      </c>
      <c r="Q7" s="1" t="n">
        <v>0.0008</v>
      </c>
      <c r="R7" s="1" t="n">
        <v>0.27</v>
      </c>
      <c r="S7" s="1" t="n">
        <v>18</v>
      </c>
      <c r="T7" s="1" t="n">
        <v>52.2864</v>
      </c>
      <c r="U7" s="1" t="n">
        <v>52.2864</v>
      </c>
      <c r="V7" s="1" t="n">
        <v>0</v>
      </c>
      <c r="W7" s="1" t="n">
        <v>0.3</v>
      </c>
      <c r="X7" s="1" t="n">
        <v>1</v>
      </c>
      <c r="Y7" s="1" t="n">
        <v>39.82</v>
      </c>
      <c r="Z7" s="1" t="n">
        <v>0.19</v>
      </c>
      <c r="AA7" s="1" t="n">
        <v>20.74</v>
      </c>
      <c r="AB7" s="1" t="n">
        <v>0.21</v>
      </c>
      <c r="AC7" s="1" t="n">
        <f aca="false">AD7/J7</f>
        <v>4.71099029472337</v>
      </c>
      <c r="AD7" s="3" t="n">
        <v>0.037</v>
      </c>
      <c r="AE7" s="1" t="n">
        <v>7.4</v>
      </c>
      <c r="AF7" s="1" t="n">
        <v>0</v>
      </c>
    </row>
    <row r="8" customFormat="false" ht="12.8" hidden="false" customHeight="false" outlineLevel="0" collapsed="false">
      <c r="A8" s="1" t="s">
        <v>38</v>
      </c>
      <c r="B8" s="1" t="n">
        <v>40.24</v>
      </c>
      <c r="C8" s="1" t="n">
        <v>19.81</v>
      </c>
      <c r="D8" s="1" t="n">
        <v>0.3</v>
      </c>
      <c r="E8" s="1" t="n">
        <v>0</v>
      </c>
      <c r="F8" s="1" t="n">
        <v>0.00015</v>
      </c>
      <c r="G8" s="1" t="n">
        <v>0.7</v>
      </c>
      <c r="H8" s="1" t="n">
        <v>3.5E-007</v>
      </c>
      <c r="I8" s="1" t="n">
        <v>0.3</v>
      </c>
      <c r="J8" s="1" t="n">
        <f aca="false">3.14159*0.1^2/4</f>
        <v>0.007853975</v>
      </c>
      <c r="K8" s="1" t="n">
        <v>0.0038</v>
      </c>
      <c r="L8" s="1" t="n">
        <v>0.002</v>
      </c>
      <c r="M8" s="1" t="n">
        <f aca="false">SQRT(3.14159)*0.1/2</f>
        <v>0.0886226551170749</v>
      </c>
      <c r="N8" s="1" t="n">
        <v>1</v>
      </c>
      <c r="O8" s="1" t="n">
        <f aca="false">0.005/J8</f>
        <v>0.636620310097753</v>
      </c>
      <c r="P8" s="1" t="n">
        <v>0.0002</v>
      </c>
      <c r="Q8" s="1" t="n">
        <v>0.0008</v>
      </c>
      <c r="R8" s="1" t="n">
        <v>0.27</v>
      </c>
      <c r="S8" s="1" t="n">
        <v>18</v>
      </c>
      <c r="T8" s="1" t="n">
        <v>42.9528</v>
      </c>
      <c r="U8" s="1" t="n">
        <v>42.9528</v>
      </c>
      <c r="V8" s="1" t="n">
        <v>0</v>
      </c>
      <c r="W8" s="1" t="n">
        <v>0.3</v>
      </c>
      <c r="X8" s="1" t="n">
        <v>1</v>
      </c>
      <c r="Y8" s="1" t="n">
        <v>39.75</v>
      </c>
      <c r="Z8" s="1" t="n">
        <v>0.19</v>
      </c>
      <c r="AA8" s="1" t="n">
        <v>20.52</v>
      </c>
      <c r="AB8" s="1" t="n">
        <v>0.21</v>
      </c>
      <c r="AC8" s="1" t="n">
        <f aca="false">AD8/J8</f>
        <v>3.56507373654742</v>
      </c>
      <c r="AD8" s="3" t="n">
        <v>0.028</v>
      </c>
      <c r="AE8" s="1" t="n">
        <v>5.6</v>
      </c>
      <c r="AF8" s="1" t="n">
        <v>0</v>
      </c>
    </row>
    <row r="9" customFormat="false" ht="12.8" hidden="false" customHeight="false" outlineLevel="0" collapsed="false">
      <c r="A9" s="1" t="s">
        <v>39</v>
      </c>
      <c r="B9" s="1" t="n">
        <v>59.74</v>
      </c>
      <c r="C9" s="1" t="n">
        <v>39.86</v>
      </c>
      <c r="D9" s="1" t="n">
        <v>0.3</v>
      </c>
      <c r="E9" s="1" t="n">
        <v>0</v>
      </c>
      <c r="F9" s="1" t="n">
        <v>0.00015</v>
      </c>
      <c r="G9" s="1" t="n">
        <v>0.7</v>
      </c>
      <c r="H9" s="1" t="n">
        <v>3.5E-007</v>
      </c>
      <c r="I9" s="1" t="n">
        <v>0.3</v>
      </c>
      <c r="J9" s="1" t="n">
        <f aca="false">3.14159*0.1^2/4</f>
        <v>0.007853975</v>
      </c>
      <c r="K9" s="1" t="n">
        <v>0.0038</v>
      </c>
      <c r="L9" s="1" t="n">
        <v>0.002</v>
      </c>
      <c r="M9" s="1" t="n">
        <f aca="false">SQRT(3.14159)*0.1/2</f>
        <v>0.0886226551170749</v>
      </c>
      <c r="N9" s="1" t="n">
        <v>1</v>
      </c>
      <c r="O9" s="1" t="n">
        <f aca="false">0.005/J9</f>
        <v>0.636620310097753</v>
      </c>
      <c r="P9" s="1" t="n">
        <v>0.0002</v>
      </c>
      <c r="Q9" s="1" t="n">
        <v>0.0008</v>
      </c>
      <c r="R9" s="1" t="n">
        <v>0.27</v>
      </c>
      <c r="S9" s="1" t="n">
        <v>18</v>
      </c>
      <c r="T9" s="1" t="n">
        <v>52.2864</v>
      </c>
      <c r="U9" s="1" t="n">
        <v>52.2864</v>
      </c>
      <c r="V9" s="1" t="n">
        <v>0</v>
      </c>
      <c r="W9" s="1" t="n">
        <v>0.3</v>
      </c>
      <c r="X9" s="1" t="n">
        <v>1</v>
      </c>
      <c r="Y9" s="1" t="n">
        <v>59.41</v>
      </c>
      <c r="Z9" s="1" t="n">
        <v>0.19</v>
      </c>
      <c r="AA9" s="1" t="n">
        <v>40.99</v>
      </c>
      <c r="AB9" s="1" t="n">
        <v>0.21</v>
      </c>
      <c r="AC9" s="1" t="n">
        <f aca="false">AD9/J9</f>
        <v>34.8867929933569</v>
      </c>
      <c r="AD9" s="3" t="n">
        <v>0.274</v>
      </c>
      <c r="AE9" s="1" t="n">
        <v>54.8</v>
      </c>
      <c r="AF9" s="1" t="n">
        <v>0</v>
      </c>
    </row>
    <row r="10" customFormat="false" ht="12.8" hidden="false" customHeight="false" outlineLevel="0" collapsed="false">
      <c r="A10" s="1" t="s">
        <v>40</v>
      </c>
      <c r="B10" s="1" t="n">
        <v>50.39</v>
      </c>
      <c r="C10" s="1" t="n">
        <v>30.02</v>
      </c>
      <c r="D10" s="1" t="n">
        <v>0.3</v>
      </c>
      <c r="E10" s="1" t="n">
        <v>0</v>
      </c>
      <c r="F10" s="1" t="n">
        <v>0.00015</v>
      </c>
      <c r="G10" s="1" t="n">
        <v>0.7</v>
      </c>
      <c r="H10" s="1" t="n">
        <v>3.5E-007</v>
      </c>
      <c r="I10" s="1" t="n">
        <v>0.3</v>
      </c>
      <c r="J10" s="1" t="n">
        <f aca="false">3.14159*0.1^2/4</f>
        <v>0.007853975</v>
      </c>
      <c r="K10" s="1" t="n">
        <v>0.0038</v>
      </c>
      <c r="L10" s="1" t="n">
        <v>0.002</v>
      </c>
      <c r="M10" s="1" t="n">
        <f aca="false">SQRT(3.14159)*0.1/2</f>
        <v>0.0886226551170749</v>
      </c>
      <c r="N10" s="1" t="n">
        <v>1</v>
      </c>
      <c r="O10" s="1" t="n">
        <f aca="false">0.005/J10</f>
        <v>0.636620310097753</v>
      </c>
      <c r="P10" s="1" t="n">
        <v>0.0002</v>
      </c>
      <c r="Q10" s="1" t="n">
        <v>0.0008</v>
      </c>
      <c r="R10" s="1" t="n">
        <v>0.27</v>
      </c>
      <c r="S10" s="1" t="n">
        <v>18</v>
      </c>
      <c r="T10" s="1" t="n">
        <v>61.7646</v>
      </c>
      <c r="U10" s="1" t="n">
        <v>61.7646</v>
      </c>
      <c r="V10" s="1" t="n">
        <v>0</v>
      </c>
      <c r="W10" s="1" t="n">
        <v>0.3</v>
      </c>
      <c r="X10" s="1" t="n">
        <v>1</v>
      </c>
      <c r="Y10" s="1" t="n">
        <v>50.17</v>
      </c>
      <c r="Z10" s="1" t="n">
        <v>0.19</v>
      </c>
      <c r="AA10" s="1" t="n">
        <v>30.71</v>
      </c>
      <c r="AB10" s="1" t="n">
        <v>0.21</v>
      </c>
      <c r="AC10" s="1" t="n">
        <f aca="false">AD10/J10</f>
        <v>6.36620310097753</v>
      </c>
      <c r="AD10" s="3" t="n">
        <v>0.05</v>
      </c>
      <c r="AE10" s="1" t="n">
        <v>10</v>
      </c>
      <c r="AF10" s="1" t="n">
        <v>0</v>
      </c>
    </row>
    <row r="11" customFormat="false" ht="12.8" hidden="false" customHeight="false" outlineLevel="0" collapsed="false">
      <c r="A11" s="1" t="s">
        <v>41</v>
      </c>
      <c r="B11" s="1" t="n">
        <v>50.41</v>
      </c>
      <c r="C11" s="1" t="n">
        <v>30.67</v>
      </c>
      <c r="D11" s="1" t="n">
        <v>0.3</v>
      </c>
      <c r="E11" s="1" t="n">
        <v>0</v>
      </c>
      <c r="F11" s="1" t="n">
        <v>0.00015</v>
      </c>
      <c r="G11" s="1" t="n">
        <v>0.7</v>
      </c>
      <c r="H11" s="1" t="n">
        <v>3.5E-007</v>
      </c>
      <c r="I11" s="1" t="n">
        <v>0.3</v>
      </c>
      <c r="J11" s="1" t="n">
        <f aca="false">3.14159*0.1^2/4</f>
        <v>0.007853975</v>
      </c>
      <c r="K11" s="1" t="n">
        <v>0.0038</v>
      </c>
      <c r="L11" s="1" t="n">
        <v>0.002</v>
      </c>
      <c r="M11" s="1" t="n">
        <f aca="false">SQRT(3.14159)*0.1/2</f>
        <v>0.0886226551170749</v>
      </c>
      <c r="N11" s="1" t="n">
        <v>1</v>
      </c>
      <c r="O11" s="1" t="n">
        <f aca="false">0.005/J11</f>
        <v>0.636620310097753</v>
      </c>
      <c r="P11" s="1" t="n">
        <v>0.0002</v>
      </c>
      <c r="Q11" s="1" t="n">
        <v>0.0008</v>
      </c>
      <c r="R11" s="1" t="n">
        <v>0.27</v>
      </c>
      <c r="S11" s="1" t="n">
        <v>18</v>
      </c>
      <c r="T11" s="1" t="n">
        <v>42.9528</v>
      </c>
      <c r="U11" s="1" t="n">
        <v>42.9528</v>
      </c>
      <c r="V11" s="1" t="n">
        <v>0</v>
      </c>
      <c r="W11" s="1" t="n">
        <v>0.3</v>
      </c>
      <c r="X11" s="1" t="n">
        <v>1</v>
      </c>
      <c r="Y11" s="1" t="n">
        <v>49.53</v>
      </c>
      <c r="Z11" s="1" t="n">
        <v>0.19</v>
      </c>
      <c r="AA11" s="1" t="n">
        <v>31.62</v>
      </c>
      <c r="AB11" s="1" t="n">
        <v>0.21</v>
      </c>
      <c r="AC11" s="1" t="n">
        <f aca="false">AD11/J11</f>
        <v>5.60225872886023</v>
      </c>
      <c r="AD11" s="3" t="n">
        <v>0.044</v>
      </c>
      <c r="AE11" s="1" t="n">
        <v>8.8</v>
      </c>
      <c r="AF11" s="1" t="n">
        <v>0</v>
      </c>
    </row>
    <row r="12" customFormat="false" ht="12.8" hidden="false" customHeight="false" outlineLevel="0" collapsed="false">
      <c r="A12" s="1" t="s">
        <v>42</v>
      </c>
      <c r="B12" s="1" t="n">
        <v>55.48</v>
      </c>
      <c r="C12" s="1" t="n">
        <v>35.55</v>
      </c>
      <c r="D12" s="1" t="n">
        <v>0.3</v>
      </c>
      <c r="E12" s="1" t="n">
        <v>0</v>
      </c>
      <c r="F12" s="1" t="n">
        <v>0.00015</v>
      </c>
      <c r="G12" s="1" t="n">
        <v>0.7</v>
      </c>
      <c r="H12" s="1" t="n">
        <v>3.5E-007</v>
      </c>
      <c r="I12" s="1" t="n">
        <v>0.3</v>
      </c>
      <c r="J12" s="1" t="n">
        <f aca="false">3.14159*0.1^2/4</f>
        <v>0.007853975</v>
      </c>
      <c r="K12" s="1" t="n">
        <v>0.0038</v>
      </c>
      <c r="L12" s="1" t="n">
        <v>0.002</v>
      </c>
      <c r="M12" s="1" t="n">
        <f aca="false">SQRT(3.14159)*0.1/2</f>
        <v>0.0886226551170749</v>
      </c>
      <c r="N12" s="1" t="n">
        <v>1</v>
      </c>
      <c r="O12" s="1" t="n">
        <f aca="false">0.005/J12</f>
        <v>0.636620310097753</v>
      </c>
      <c r="P12" s="1" t="n">
        <v>0.0002</v>
      </c>
      <c r="Q12" s="1" t="n">
        <v>0.0008</v>
      </c>
      <c r="R12" s="1" t="n">
        <v>0.27</v>
      </c>
      <c r="S12" s="1" t="n">
        <v>18</v>
      </c>
      <c r="T12" s="1" t="n">
        <v>52.2864</v>
      </c>
      <c r="U12" s="1" t="n">
        <v>52.2864</v>
      </c>
      <c r="V12" s="1" t="n">
        <v>0</v>
      </c>
      <c r="W12" s="1" t="n">
        <v>0.3</v>
      </c>
      <c r="X12" s="1" t="n">
        <v>1</v>
      </c>
      <c r="Y12" s="1" t="n">
        <v>55.05</v>
      </c>
      <c r="Z12" s="1" t="n">
        <v>0.19</v>
      </c>
      <c r="AA12" s="1" t="n">
        <v>36.45</v>
      </c>
      <c r="AB12" s="1" t="n">
        <v>0.21</v>
      </c>
      <c r="AC12" s="1" t="n">
        <f aca="false">AD12/J12</f>
        <v>7.38479559713394</v>
      </c>
      <c r="AD12" s="3" t="n">
        <v>0.058</v>
      </c>
      <c r="AE12" s="1" t="n">
        <v>11.6</v>
      </c>
      <c r="AF12" s="1" t="n">
        <v>0</v>
      </c>
    </row>
    <row r="13" customFormat="false" ht="12.8" hidden="false" customHeight="false" outlineLevel="0" collapsed="false">
      <c r="A13" s="1" t="s">
        <v>43</v>
      </c>
      <c r="B13" s="1" t="n">
        <v>43.89</v>
      </c>
      <c r="C13" s="1" t="n">
        <v>24.98</v>
      </c>
      <c r="D13" s="1" t="n">
        <v>0.3</v>
      </c>
      <c r="E13" s="1" t="n">
        <v>0</v>
      </c>
      <c r="F13" s="1" t="n">
        <v>0.00015</v>
      </c>
      <c r="G13" s="1" t="n">
        <v>0.7</v>
      </c>
      <c r="H13" s="1" t="n">
        <v>3.5E-007</v>
      </c>
      <c r="I13" s="1" t="n">
        <v>0.3</v>
      </c>
      <c r="J13" s="1" t="n">
        <f aca="false">3.14159*0.1^2/4</f>
        <v>0.007853975</v>
      </c>
      <c r="K13" s="1" t="n">
        <v>0.0038</v>
      </c>
      <c r="L13" s="1" t="n">
        <v>0.002</v>
      </c>
      <c r="M13" s="1" t="n">
        <f aca="false">SQRT(3.14159)*0.1/2</f>
        <v>0.0886226551170749</v>
      </c>
      <c r="N13" s="1" t="n">
        <v>1</v>
      </c>
      <c r="O13" s="1" t="n">
        <f aca="false">0.005/J13</f>
        <v>0.636620310097753</v>
      </c>
      <c r="P13" s="1" t="n">
        <v>0.0002</v>
      </c>
      <c r="Q13" s="1" t="n">
        <v>0.0008</v>
      </c>
      <c r="R13" s="1" t="n">
        <v>0.27</v>
      </c>
      <c r="S13" s="1" t="n">
        <v>18</v>
      </c>
      <c r="T13" s="1" t="n">
        <v>61.7646</v>
      </c>
      <c r="U13" s="1" t="n">
        <v>61.7646</v>
      </c>
      <c r="V13" s="1" t="n">
        <v>0</v>
      </c>
      <c r="W13" s="1" t="n">
        <v>0.3</v>
      </c>
      <c r="X13" s="1" t="n">
        <v>1</v>
      </c>
      <c r="Y13" s="1" t="n">
        <v>43.54</v>
      </c>
      <c r="Z13" s="1" t="n">
        <v>0.19</v>
      </c>
      <c r="AA13" s="1" t="n">
        <v>25.66</v>
      </c>
      <c r="AB13" s="1" t="n">
        <v>0.21</v>
      </c>
      <c r="AC13" s="1" t="n">
        <f aca="false">AD13/J13</f>
        <v>5.85690685289933</v>
      </c>
      <c r="AD13" s="3" t="n">
        <v>0.046</v>
      </c>
      <c r="AE13" s="1" t="n">
        <v>9.2</v>
      </c>
      <c r="AF13" s="1" t="n">
        <v>0</v>
      </c>
    </row>
    <row r="14" customFormat="false" ht="12.8" hidden="false" customHeight="false" outlineLevel="0" collapsed="false">
      <c r="A14" s="1" t="s">
        <v>44</v>
      </c>
      <c r="B14" s="1" t="n">
        <v>61.04</v>
      </c>
      <c r="C14" s="1" t="n">
        <v>40.76</v>
      </c>
      <c r="D14" s="1" t="n">
        <v>0.3</v>
      </c>
      <c r="E14" s="1" t="n">
        <v>0</v>
      </c>
      <c r="F14" s="1" t="n">
        <v>0.00015</v>
      </c>
      <c r="G14" s="1" t="n">
        <v>0.7</v>
      </c>
      <c r="H14" s="1" t="n">
        <v>3.5E-007</v>
      </c>
      <c r="I14" s="1" t="n">
        <v>0.3</v>
      </c>
      <c r="J14" s="1" t="n">
        <f aca="false">3.14159*0.1^2/4</f>
        <v>0.007853975</v>
      </c>
      <c r="K14" s="1" t="n">
        <v>0.0038</v>
      </c>
      <c r="L14" s="1" t="n">
        <v>0.002</v>
      </c>
      <c r="M14" s="1" t="n">
        <f aca="false">SQRT(3.14159)*0.1/2</f>
        <v>0.0886226551170749</v>
      </c>
      <c r="N14" s="1" t="n">
        <v>1</v>
      </c>
      <c r="O14" s="1" t="n">
        <f aca="false">0.005/J14</f>
        <v>0.636620310097753</v>
      </c>
      <c r="P14" s="1" t="n">
        <v>0.0002</v>
      </c>
      <c r="Q14" s="1" t="n">
        <v>0.0008</v>
      </c>
      <c r="R14" s="1" t="n">
        <v>0.27</v>
      </c>
      <c r="S14" s="1" t="n">
        <v>18</v>
      </c>
      <c r="T14" s="1" t="n">
        <v>42.9528</v>
      </c>
      <c r="U14" s="1" t="n">
        <v>42.9528</v>
      </c>
      <c r="V14" s="1" t="n">
        <v>0</v>
      </c>
      <c r="W14" s="1" t="n">
        <v>0.3</v>
      </c>
      <c r="X14" s="1" t="n">
        <v>1</v>
      </c>
      <c r="Y14" s="1" t="n">
        <v>60.57</v>
      </c>
      <c r="Z14" s="1" t="n">
        <v>0.19</v>
      </c>
      <c r="AA14" s="1" t="n">
        <v>41.72</v>
      </c>
      <c r="AB14" s="1" t="n">
        <v>0.21</v>
      </c>
      <c r="AC14" s="1" t="n">
        <f aca="false">AD14/J14</f>
        <v>7.38479559713394</v>
      </c>
      <c r="AD14" s="3" t="n">
        <v>0.058</v>
      </c>
      <c r="AE14" s="1" t="n">
        <v>11.6</v>
      </c>
      <c r="AF14" s="1" t="n">
        <v>0</v>
      </c>
    </row>
    <row r="15" customFormat="false" ht="12.8" hidden="false" customHeight="false" outlineLevel="0" collapsed="false">
      <c r="A15" s="1" t="s">
        <v>45</v>
      </c>
      <c r="B15" s="1" t="n">
        <v>50.49</v>
      </c>
      <c r="C15" s="1" t="n">
        <v>30.67</v>
      </c>
      <c r="D15" s="1" t="n">
        <v>0.3</v>
      </c>
      <c r="E15" s="1" t="n">
        <v>0</v>
      </c>
      <c r="F15" s="1" t="n">
        <v>0.00015</v>
      </c>
      <c r="G15" s="1" t="n">
        <v>0.7</v>
      </c>
      <c r="H15" s="1" t="n">
        <v>3.5E-007</v>
      </c>
      <c r="I15" s="1" t="n">
        <v>0.3</v>
      </c>
      <c r="J15" s="1" t="n">
        <f aca="false">3.14159*0.1^2/4</f>
        <v>0.007853975</v>
      </c>
      <c r="K15" s="1" t="n">
        <v>0.0038</v>
      </c>
      <c r="L15" s="1" t="n">
        <v>0.002</v>
      </c>
      <c r="M15" s="1" t="n">
        <f aca="false">SQRT(3.14159)*0.1/2</f>
        <v>0.0886226551170749</v>
      </c>
      <c r="N15" s="1" t="n">
        <v>1</v>
      </c>
      <c r="O15" s="1" t="n">
        <f aca="false">0.005/J15</f>
        <v>0.636620310097753</v>
      </c>
      <c r="P15" s="1" t="n">
        <v>0.0002</v>
      </c>
      <c r="Q15" s="1" t="n">
        <v>0.0008</v>
      </c>
      <c r="R15" s="1" t="n">
        <v>0.27</v>
      </c>
      <c r="S15" s="1" t="n">
        <v>18</v>
      </c>
      <c r="T15" s="1" t="n">
        <v>52.2864</v>
      </c>
      <c r="U15" s="1" t="n">
        <v>52.2864</v>
      </c>
      <c r="V15" s="1" t="n">
        <v>0</v>
      </c>
      <c r="W15" s="1" t="n">
        <v>0.3</v>
      </c>
      <c r="X15" s="1" t="n">
        <v>1</v>
      </c>
      <c r="Y15" s="1" t="n">
        <v>49.78</v>
      </c>
      <c r="Z15" s="1" t="n">
        <v>0.19</v>
      </c>
      <c r="AA15" s="1" t="n">
        <v>31.42</v>
      </c>
      <c r="AB15" s="1" t="n">
        <v>0.21</v>
      </c>
      <c r="AC15" s="1" t="n">
        <f aca="false">AD15/J15</f>
        <v>5.85690685289933</v>
      </c>
      <c r="AD15" s="3" t="n">
        <v>0.046</v>
      </c>
      <c r="AE15" s="1" t="n">
        <v>9.2</v>
      </c>
      <c r="AF15" s="1" t="n">
        <v>0</v>
      </c>
    </row>
    <row r="16" customFormat="false" ht="12.8" hidden="false" customHeight="false" outlineLevel="0" collapsed="false">
      <c r="A16" s="1" t="s">
        <v>46</v>
      </c>
      <c r="B16" s="1" t="n">
        <v>55.46</v>
      </c>
      <c r="C16" s="1" t="n">
        <v>35.69</v>
      </c>
      <c r="D16" s="1" t="n">
        <v>0.3</v>
      </c>
      <c r="E16" s="1" t="n">
        <v>0</v>
      </c>
      <c r="F16" s="1" t="n">
        <v>0.00015</v>
      </c>
      <c r="G16" s="1" t="n">
        <v>0.7</v>
      </c>
      <c r="H16" s="1" t="n">
        <v>3.5E-007</v>
      </c>
      <c r="I16" s="1" t="n">
        <v>0.3</v>
      </c>
      <c r="J16" s="1" t="n">
        <f aca="false">3.14159*0.1^2/4</f>
        <v>0.007853975</v>
      </c>
      <c r="K16" s="1" t="n">
        <v>0.0038</v>
      </c>
      <c r="L16" s="1" t="n">
        <v>0.002</v>
      </c>
      <c r="M16" s="1" t="n">
        <f aca="false">SQRT(3.14159)*0.1/2</f>
        <v>0.0886226551170749</v>
      </c>
      <c r="N16" s="1" t="n">
        <v>1</v>
      </c>
      <c r="O16" s="1" t="n">
        <f aca="false">0.005/J16</f>
        <v>0.636620310097753</v>
      </c>
      <c r="P16" s="1" t="n">
        <v>0.0002</v>
      </c>
      <c r="Q16" s="1" t="n">
        <v>0.0008</v>
      </c>
      <c r="R16" s="1" t="n">
        <v>0.27</v>
      </c>
      <c r="S16" s="1" t="n">
        <v>18</v>
      </c>
      <c r="T16" s="1" t="n">
        <v>42.9528</v>
      </c>
      <c r="U16" s="1" t="n">
        <v>42.9528</v>
      </c>
      <c r="V16" s="1" t="n">
        <v>0</v>
      </c>
      <c r="W16" s="1" t="n">
        <v>0.3</v>
      </c>
      <c r="X16" s="1" t="n">
        <v>1</v>
      </c>
      <c r="Y16" s="1" t="n">
        <v>55.18</v>
      </c>
      <c r="Z16" s="1" t="n">
        <v>0.19</v>
      </c>
      <c r="AA16" s="1" t="n">
        <v>36.58</v>
      </c>
      <c r="AB16" s="1" t="n">
        <v>0.21</v>
      </c>
      <c r="AC16" s="1" t="n">
        <f aca="false">AD16/J16</f>
        <v>6.11155497693843</v>
      </c>
      <c r="AD16" s="3" t="n">
        <v>0.048</v>
      </c>
      <c r="AE16" s="1" t="n">
        <v>9.6</v>
      </c>
      <c r="AF16" s="1" t="n">
        <v>0</v>
      </c>
    </row>
    <row r="17" customFormat="false" ht="12.8" hidden="false" customHeight="false" outlineLevel="0" collapsed="false">
      <c r="A17" s="1" t="s">
        <v>47</v>
      </c>
      <c r="B17" s="1" t="n">
        <v>45.27</v>
      </c>
      <c r="C17" s="1" t="n">
        <v>25.01</v>
      </c>
      <c r="D17" s="1" t="n">
        <v>0.3</v>
      </c>
      <c r="E17" s="1" t="n">
        <v>0</v>
      </c>
      <c r="F17" s="1" t="n">
        <v>0.00015</v>
      </c>
      <c r="G17" s="1" t="n">
        <v>0.7</v>
      </c>
      <c r="H17" s="1" t="n">
        <v>3.5E-007</v>
      </c>
      <c r="I17" s="1" t="n">
        <v>0.3</v>
      </c>
      <c r="J17" s="1" t="n">
        <f aca="false">3.14159*0.1^2/4</f>
        <v>0.007853975</v>
      </c>
      <c r="K17" s="1" t="n">
        <v>0.0038</v>
      </c>
      <c r="L17" s="1" t="n">
        <v>0.002</v>
      </c>
      <c r="M17" s="1" t="n">
        <f aca="false">SQRT(3.14159)*0.1/2</f>
        <v>0.0886226551170749</v>
      </c>
      <c r="N17" s="1" t="n">
        <v>1</v>
      </c>
      <c r="O17" s="1" t="n">
        <f aca="false">0.005/J17</f>
        <v>0.636620310097753</v>
      </c>
      <c r="P17" s="1" t="n">
        <v>0.0002</v>
      </c>
      <c r="Q17" s="1" t="n">
        <v>0.0008</v>
      </c>
      <c r="R17" s="1" t="n">
        <v>0.27</v>
      </c>
      <c r="S17" s="1" t="n">
        <v>18</v>
      </c>
      <c r="T17" s="1" t="n">
        <v>52.2864</v>
      </c>
      <c r="U17" s="1" t="n">
        <v>52.2864</v>
      </c>
      <c r="V17" s="1" t="n">
        <v>0</v>
      </c>
      <c r="W17" s="1" t="n">
        <v>0.3</v>
      </c>
      <c r="X17" s="1" t="n">
        <v>1</v>
      </c>
      <c r="Y17" s="1" t="n">
        <v>44.91</v>
      </c>
      <c r="Z17" s="1" t="n">
        <v>0.19</v>
      </c>
      <c r="AA17" s="1" t="n">
        <v>25.78</v>
      </c>
      <c r="AB17" s="1" t="n">
        <v>0.21</v>
      </c>
      <c r="AC17" s="1" t="n">
        <f aca="false">AD17/J17</f>
        <v>5.47493466684068</v>
      </c>
      <c r="AD17" s="3" t="n">
        <v>0.043</v>
      </c>
      <c r="AE17" s="1" t="n">
        <v>8.6</v>
      </c>
      <c r="AF17" s="1" t="n">
        <v>0</v>
      </c>
    </row>
    <row r="18" customFormat="false" ht="12.8" hidden="false" customHeight="false" outlineLevel="0" collapsed="false">
      <c r="A18" s="1" t="s">
        <v>48</v>
      </c>
      <c r="B18" s="1" t="n">
        <v>55.37</v>
      </c>
      <c r="C18" s="1" t="n">
        <v>35.67</v>
      </c>
      <c r="D18" s="1" t="n">
        <v>0.3</v>
      </c>
      <c r="E18" s="1" t="n">
        <v>0</v>
      </c>
      <c r="F18" s="1" t="n">
        <v>0.00015</v>
      </c>
      <c r="G18" s="1" t="n">
        <v>0.7</v>
      </c>
      <c r="H18" s="1" t="n">
        <v>3.5E-007</v>
      </c>
      <c r="I18" s="1" t="n">
        <v>0.3</v>
      </c>
      <c r="J18" s="1" t="n">
        <f aca="false">3.14159*0.1^2/4</f>
        <v>0.007853975</v>
      </c>
      <c r="K18" s="1" t="n">
        <v>0.0038</v>
      </c>
      <c r="L18" s="1" t="n">
        <v>0.002</v>
      </c>
      <c r="M18" s="1" t="n">
        <f aca="false">SQRT(3.14159)*0.1/2</f>
        <v>0.0886226551170749</v>
      </c>
      <c r="N18" s="1" t="n">
        <v>1</v>
      </c>
      <c r="O18" s="1" t="n">
        <f aca="false">0.005/J18</f>
        <v>0.636620310097753</v>
      </c>
      <c r="P18" s="1" t="n">
        <v>0.0002</v>
      </c>
      <c r="Q18" s="1" t="n">
        <v>0.0008</v>
      </c>
      <c r="R18" s="1" t="n">
        <v>0.27</v>
      </c>
      <c r="S18" s="1" t="n">
        <v>18</v>
      </c>
      <c r="T18" s="1" t="n">
        <v>61.7646</v>
      </c>
      <c r="U18" s="1" t="n">
        <v>61.7646</v>
      </c>
      <c r="V18" s="1" t="n">
        <v>0</v>
      </c>
      <c r="W18" s="1" t="n">
        <v>0.3</v>
      </c>
      <c r="X18" s="1" t="n">
        <v>1</v>
      </c>
      <c r="Y18" s="1" t="n">
        <v>54.74</v>
      </c>
      <c r="Z18" s="1" t="n">
        <v>0.19</v>
      </c>
      <c r="AA18" s="1" t="n">
        <v>36.37</v>
      </c>
      <c r="AB18" s="1" t="n">
        <v>0.21</v>
      </c>
      <c r="AC18" s="1" t="n">
        <f aca="false">AD18/J18</f>
        <v>7.89409184521214</v>
      </c>
      <c r="AD18" s="3" t="n">
        <v>0.062</v>
      </c>
      <c r="AE18" s="1" t="n">
        <v>12.4</v>
      </c>
      <c r="AF18" s="1" t="n">
        <v>0</v>
      </c>
    </row>
    <row r="19" customFormat="false" ht="12.8" hidden="false" customHeight="false" outlineLevel="0" collapsed="false">
      <c r="A19" s="1" t="s">
        <v>49</v>
      </c>
      <c r="B19" s="1" t="n">
        <v>45.63</v>
      </c>
      <c r="C19" s="1" t="n">
        <v>25.31</v>
      </c>
      <c r="D19" s="1" t="n">
        <v>0.3</v>
      </c>
      <c r="E19" s="1" t="n">
        <v>0</v>
      </c>
      <c r="F19" s="1" t="n">
        <v>0.00015</v>
      </c>
      <c r="G19" s="1" t="n">
        <v>0.7</v>
      </c>
      <c r="H19" s="1" t="n">
        <v>3.5E-007</v>
      </c>
      <c r="I19" s="1" t="n">
        <v>0.3</v>
      </c>
      <c r="J19" s="1" t="n">
        <f aca="false">3.14159*0.1^2/4</f>
        <v>0.007853975</v>
      </c>
      <c r="K19" s="1" t="n">
        <v>0.0038</v>
      </c>
      <c r="L19" s="1" t="n">
        <v>0.002</v>
      </c>
      <c r="M19" s="1" t="n">
        <f aca="false">SQRT(3.14159)*0.1/2</f>
        <v>0.0886226551170749</v>
      </c>
      <c r="N19" s="1" t="n">
        <v>1</v>
      </c>
      <c r="O19" s="1" t="n">
        <f aca="false">0.005/J19</f>
        <v>0.636620310097753</v>
      </c>
      <c r="P19" s="1" t="n">
        <v>0.0002</v>
      </c>
      <c r="Q19" s="1" t="n">
        <v>0.0008</v>
      </c>
      <c r="R19" s="1" t="n">
        <v>0.27</v>
      </c>
      <c r="S19" s="1" t="n">
        <v>18</v>
      </c>
      <c r="T19" s="1" t="n">
        <v>42.9528</v>
      </c>
      <c r="U19" s="1" t="n">
        <v>42.9528</v>
      </c>
      <c r="V19" s="1" t="n">
        <v>0</v>
      </c>
      <c r="W19" s="1" t="n">
        <v>0.3</v>
      </c>
      <c r="X19" s="1" t="n">
        <v>1</v>
      </c>
      <c r="Y19" s="1" t="n">
        <v>45.17</v>
      </c>
      <c r="Z19" s="1" t="n">
        <v>0.19</v>
      </c>
      <c r="AA19" s="1" t="n">
        <v>26.14</v>
      </c>
      <c r="AB19" s="1" t="n">
        <v>0.21</v>
      </c>
      <c r="AC19" s="1" t="n">
        <f aca="false">AD19/J19</f>
        <v>5.34761060482113</v>
      </c>
      <c r="AD19" s="3" t="n">
        <v>0.042</v>
      </c>
      <c r="AE19" s="1" t="n">
        <v>8.4</v>
      </c>
      <c r="AF19" s="1" t="n">
        <v>0</v>
      </c>
    </row>
    <row r="20" customFormat="false" ht="12.8" hidden="false" customHeight="false" outlineLevel="0" collapsed="false">
      <c r="A20" s="1" t="s">
        <v>50</v>
      </c>
      <c r="B20" s="1" t="n">
        <v>45.6</v>
      </c>
      <c r="C20" s="1" t="n">
        <v>25.14</v>
      </c>
      <c r="D20" s="1" t="n">
        <v>0.3</v>
      </c>
      <c r="E20" s="1" t="n">
        <v>0</v>
      </c>
      <c r="F20" s="1" t="n">
        <v>0.00015</v>
      </c>
      <c r="G20" s="1" t="n">
        <v>0.7</v>
      </c>
      <c r="H20" s="1" t="n">
        <v>3.5E-007</v>
      </c>
      <c r="I20" s="1" t="n">
        <v>0.3</v>
      </c>
      <c r="J20" s="1" t="n">
        <f aca="false">3.14159*0.1^2/4</f>
        <v>0.007853975</v>
      </c>
      <c r="K20" s="1" t="n">
        <v>0.0038</v>
      </c>
      <c r="L20" s="1" t="n">
        <v>0.002</v>
      </c>
      <c r="M20" s="1" t="n">
        <f aca="false">SQRT(3.14159)*0.1/2</f>
        <v>0.0886226551170749</v>
      </c>
      <c r="N20" s="1" t="n">
        <v>1</v>
      </c>
      <c r="O20" s="1" t="n">
        <f aca="false">0.005/J20</f>
        <v>0.636620310097753</v>
      </c>
      <c r="P20" s="1" t="n">
        <v>0.0002</v>
      </c>
      <c r="Q20" s="1" t="n">
        <v>0.0008</v>
      </c>
      <c r="R20" s="1" t="n">
        <v>0.27</v>
      </c>
      <c r="S20" s="1" t="n">
        <v>18</v>
      </c>
      <c r="T20" s="1" t="n">
        <v>42.9528</v>
      </c>
      <c r="U20" s="1" t="n">
        <v>42.9528</v>
      </c>
      <c r="V20" s="1" t="n">
        <v>0</v>
      </c>
      <c r="W20" s="1" t="n">
        <v>0.3</v>
      </c>
      <c r="X20" s="1" t="n">
        <v>1</v>
      </c>
      <c r="Y20" s="1" t="n">
        <v>45.26</v>
      </c>
      <c r="Z20" s="1" t="n">
        <v>0.19</v>
      </c>
      <c r="AA20" s="1" t="n">
        <v>25.83</v>
      </c>
      <c r="AB20" s="1" t="n">
        <v>0.21</v>
      </c>
      <c r="AC20" s="1" t="n">
        <f aca="false">AD20/J20</f>
        <v>4.07436998462562</v>
      </c>
      <c r="AD20" s="3" t="n">
        <v>0.032</v>
      </c>
      <c r="AE20" s="1" t="n">
        <v>6.4</v>
      </c>
      <c r="AF20" s="1" t="n">
        <v>0</v>
      </c>
    </row>
    <row r="21" customFormat="false" ht="12.8" hidden="false" customHeight="false" outlineLevel="0" collapsed="false">
      <c r="A21" s="1" t="s">
        <v>51</v>
      </c>
      <c r="B21" s="1" t="n">
        <v>55.97</v>
      </c>
      <c r="C21" s="1" t="n">
        <v>34.62</v>
      </c>
      <c r="D21" s="1" t="n">
        <v>0.3</v>
      </c>
      <c r="E21" s="1" t="n">
        <v>0</v>
      </c>
      <c r="F21" s="1" t="n">
        <v>0.00015</v>
      </c>
      <c r="G21" s="1" t="n">
        <v>0.7</v>
      </c>
      <c r="H21" s="1" t="n">
        <v>3.5E-007</v>
      </c>
      <c r="I21" s="1" t="n">
        <v>0.3</v>
      </c>
      <c r="J21" s="1" t="n">
        <f aca="false">3.14159*0.1^2/4</f>
        <v>0.007853975</v>
      </c>
      <c r="K21" s="1" t="n">
        <v>0.0038</v>
      </c>
      <c r="L21" s="1" t="n">
        <v>0.002</v>
      </c>
      <c r="M21" s="1" t="n">
        <f aca="false">SQRT(3.14159)*0.1/2</f>
        <v>0.0886226551170749</v>
      </c>
      <c r="N21" s="1" t="n">
        <v>1</v>
      </c>
      <c r="O21" s="1" t="n">
        <f aca="false">0.005/J21</f>
        <v>0.636620310097753</v>
      </c>
      <c r="P21" s="1" t="n">
        <v>0.0002</v>
      </c>
      <c r="Q21" s="1" t="n">
        <v>0.0008</v>
      </c>
      <c r="R21" s="1" t="n">
        <v>0.27</v>
      </c>
      <c r="S21" s="1" t="n">
        <v>18</v>
      </c>
      <c r="T21" s="1" t="n">
        <v>61.7646</v>
      </c>
      <c r="U21" s="1" t="n">
        <v>61.7646</v>
      </c>
      <c r="V21" s="1" t="n">
        <v>0</v>
      </c>
      <c r="W21" s="1" t="n">
        <v>0.3</v>
      </c>
      <c r="X21" s="1" t="n">
        <v>1</v>
      </c>
      <c r="Y21" s="1" t="n">
        <v>55.33</v>
      </c>
      <c r="Z21" s="1" t="n">
        <v>0.19</v>
      </c>
      <c r="AA21" s="1" t="n">
        <v>35.56</v>
      </c>
      <c r="AB21" s="1" t="n">
        <v>0.21</v>
      </c>
      <c r="AC21" s="1" t="n">
        <f aca="false">AD21/J21</f>
        <v>8.78536027934899</v>
      </c>
      <c r="AD21" s="3" t="n">
        <v>0.069</v>
      </c>
      <c r="AE21" s="1" t="n">
        <v>13.8</v>
      </c>
      <c r="AF21" s="1" t="n">
        <v>0</v>
      </c>
    </row>
    <row r="22" customFormat="false" ht="12.8" hidden="false" customHeight="false" outlineLevel="0" collapsed="false">
      <c r="A22" s="1" t="s">
        <v>52</v>
      </c>
      <c r="B22" s="1" t="n">
        <v>60.78</v>
      </c>
      <c r="C22" s="1" t="n">
        <v>41.34</v>
      </c>
      <c r="D22" s="1" t="n">
        <v>0.3</v>
      </c>
      <c r="E22" s="1" t="n">
        <v>0</v>
      </c>
      <c r="F22" s="1" t="n">
        <v>0.00015</v>
      </c>
      <c r="G22" s="1" t="n">
        <v>0.7</v>
      </c>
      <c r="H22" s="1" t="n">
        <v>3.5E-007</v>
      </c>
      <c r="I22" s="1" t="n">
        <v>0.3</v>
      </c>
      <c r="J22" s="1" t="n">
        <f aca="false">3.14159*0.1^2/4</f>
        <v>0.007853975</v>
      </c>
      <c r="K22" s="1" t="n">
        <v>0.0038</v>
      </c>
      <c r="L22" s="1" t="n">
        <v>0.002</v>
      </c>
      <c r="M22" s="1" t="n">
        <f aca="false">SQRT(3.14159)*0.1/2</f>
        <v>0.0886226551170749</v>
      </c>
      <c r="N22" s="1" t="n">
        <v>1</v>
      </c>
      <c r="O22" s="1" t="n">
        <f aca="false">0.005/J22</f>
        <v>0.636620310097753</v>
      </c>
      <c r="P22" s="1" t="n">
        <v>0.0002</v>
      </c>
      <c r="Q22" s="1" t="n">
        <v>0.0008</v>
      </c>
      <c r="R22" s="1" t="n">
        <v>0.27</v>
      </c>
      <c r="S22" s="1" t="n">
        <v>18</v>
      </c>
      <c r="T22" s="1" t="n">
        <v>42.9528</v>
      </c>
      <c r="U22" s="1" t="n">
        <v>42.9528</v>
      </c>
      <c r="V22" s="1" t="n">
        <v>0</v>
      </c>
      <c r="W22" s="1" t="n">
        <v>0.3</v>
      </c>
      <c r="X22" s="1" t="n">
        <v>1</v>
      </c>
      <c r="Y22" s="1" t="n">
        <v>59.84</v>
      </c>
      <c r="Z22" s="1" t="n">
        <v>0.19</v>
      </c>
      <c r="AA22" s="1" t="n">
        <v>42.22</v>
      </c>
      <c r="AB22" s="1" t="n">
        <v>0.21</v>
      </c>
      <c r="AC22" s="1" t="n">
        <f aca="false">AD22/J22</f>
        <v>6.87549934905573</v>
      </c>
      <c r="AD22" s="3" t="n">
        <v>0.054</v>
      </c>
      <c r="AE22" s="1" t="n">
        <v>10.8</v>
      </c>
      <c r="AF22" s="1" t="n">
        <v>0</v>
      </c>
    </row>
    <row r="23" customFormat="false" ht="12.8" hidden="false" customHeight="false" outlineLevel="0" collapsed="false">
      <c r="A23" s="1" t="s">
        <v>53</v>
      </c>
      <c r="B23" s="1" t="n">
        <v>61.8</v>
      </c>
      <c r="C23" s="1" t="n">
        <v>40.04</v>
      </c>
      <c r="D23" s="1" t="n">
        <v>0.3</v>
      </c>
      <c r="E23" s="1" t="n">
        <v>0</v>
      </c>
      <c r="F23" s="1" t="n">
        <v>0.00015</v>
      </c>
      <c r="G23" s="1" t="n">
        <v>0.7</v>
      </c>
      <c r="H23" s="1" t="n">
        <v>3.5E-007</v>
      </c>
      <c r="I23" s="1" t="n">
        <v>0.3</v>
      </c>
      <c r="J23" s="1" t="n">
        <f aca="false">3.14159*0.1^2/4</f>
        <v>0.007853975</v>
      </c>
      <c r="K23" s="1" t="n">
        <v>0.0038</v>
      </c>
      <c r="L23" s="1" t="n">
        <v>0.002</v>
      </c>
      <c r="M23" s="1" t="n">
        <f aca="false">SQRT(3.14159)*0.1/2</f>
        <v>0.0886226551170749</v>
      </c>
      <c r="N23" s="1" t="n">
        <v>1</v>
      </c>
      <c r="O23" s="1" t="n">
        <f aca="false">0.005/J23</f>
        <v>0.636620310097753</v>
      </c>
      <c r="P23" s="1" t="n">
        <v>0.0002</v>
      </c>
      <c r="Q23" s="1" t="n">
        <v>0.0008</v>
      </c>
      <c r="R23" s="1" t="n">
        <v>0.27</v>
      </c>
      <c r="S23" s="1" t="n">
        <v>18</v>
      </c>
      <c r="T23" s="1" t="n">
        <v>52.2864</v>
      </c>
      <c r="U23" s="1" t="n">
        <v>52.2864</v>
      </c>
      <c r="V23" s="1" t="n">
        <v>0</v>
      </c>
      <c r="W23" s="1" t="n">
        <v>0.3</v>
      </c>
      <c r="X23" s="1" t="n">
        <v>1</v>
      </c>
      <c r="Y23" s="1" t="n">
        <v>60.72</v>
      </c>
      <c r="Z23" s="1" t="n">
        <v>0.19</v>
      </c>
      <c r="AA23" s="1" t="n">
        <v>41</v>
      </c>
      <c r="AB23" s="1" t="n">
        <v>0.21</v>
      </c>
      <c r="AC23" s="1" t="n">
        <f aca="false">AD23/J23</f>
        <v>9.16733246540764</v>
      </c>
      <c r="AD23" s="3" t="n">
        <v>0.072</v>
      </c>
      <c r="AE23" s="1" t="n">
        <v>14.4</v>
      </c>
      <c r="AF23" s="1" t="n">
        <v>0</v>
      </c>
    </row>
    <row r="24" customFormat="false" ht="12.8" hidden="false" customHeight="false" outlineLevel="0" collapsed="false">
      <c r="A24" s="1" t="s">
        <v>54</v>
      </c>
      <c r="B24" s="1" t="n">
        <v>59.8</v>
      </c>
      <c r="C24" s="1" t="n">
        <v>40.29</v>
      </c>
      <c r="D24" s="1" t="n">
        <v>0.3</v>
      </c>
      <c r="E24" s="1" t="n">
        <v>0</v>
      </c>
      <c r="F24" s="1" t="n">
        <v>0.00015</v>
      </c>
      <c r="G24" s="1" t="n">
        <v>0.7</v>
      </c>
      <c r="H24" s="1" t="n">
        <v>3.5E-007</v>
      </c>
      <c r="I24" s="1" t="n">
        <v>0.3</v>
      </c>
      <c r="J24" s="1" t="n">
        <f aca="false">3.14159*0.1^2/4</f>
        <v>0.007853975</v>
      </c>
      <c r="K24" s="1" t="n">
        <v>0.0038</v>
      </c>
      <c r="L24" s="1" t="n">
        <v>0.002</v>
      </c>
      <c r="M24" s="1" t="n">
        <f aca="false">SQRT(3.14159)*0.1/2</f>
        <v>0.0886226551170749</v>
      </c>
      <c r="N24" s="1" t="n">
        <v>1</v>
      </c>
      <c r="O24" s="1" t="n">
        <f aca="false">0.005/J24</f>
        <v>0.636620310097753</v>
      </c>
      <c r="P24" s="1" t="n">
        <v>0.0002</v>
      </c>
      <c r="Q24" s="1" t="n">
        <v>0.0008</v>
      </c>
      <c r="R24" s="1" t="n">
        <v>0.27</v>
      </c>
      <c r="S24" s="1" t="n">
        <v>18</v>
      </c>
      <c r="T24" s="1" t="n">
        <v>61.7646</v>
      </c>
      <c r="U24" s="1" t="n">
        <v>61.7646</v>
      </c>
      <c r="V24" s="1" t="n">
        <v>0</v>
      </c>
      <c r="W24" s="1" t="n">
        <v>0.3</v>
      </c>
      <c r="X24" s="1" t="n">
        <v>1</v>
      </c>
      <c r="Y24" s="1" t="n">
        <v>59.53</v>
      </c>
      <c r="Z24" s="1" t="n">
        <v>0.19</v>
      </c>
      <c r="AA24" s="1" t="n">
        <v>41.17</v>
      </c>
      <c r="AB24" s="1" t="n">
        <v>0.21</v>
      </c>
      <c r="AC24" s="1" t="n">
        <f aca="false">AD24/J24</f>
        <v>8.53071215530989</v>
      </c>
      <c r="AD24" s="3" t="n">
        <v>0.067</v>
      </c>
      <c r="AE24" s="1" t="n">
        <v>13.4</v>
      </c>
      <c r="AF24" s="1" t="n">
        <v>0</v>
      </c>
    </row>
    <row r="25" customFormat="false" ht="12.8" hidden="false" customHeight="false" outlineLevel="0" collapsed="false">
      <c r="A25" s="1" t="s">
        <v>55</v>
      </c>
      <c r="B25" s="1" t="n">
        <v>39.14</v>
      </c>
      <c r="C25" s="1" t="n">
        <v>19.16</v>
      </c>
      <c r="D25" s="1" t="n">
        <v>0.3</v>
      </c>
      <c r="E25" s="1" t="n">
        <v>0</v>
      </c>
      <c r="F25" s="1" t="n">
        <v>0.00015</v>
      </c>
      <c r="G25" s="1" t="n">
        <v>0.7</v>
      </c>
      <c r="H25" s="1" t="n">
        <v>3.5E-007</v>
      </c>
      <c r="I25" s="1" t="n">
        <v>0.3</v>
      </c>
      <c r="J25" s="1" t="n">
        <f aca="false">3.14159*0.1^2/4</f>
        <v>0.007853975</v>
      </c>
      <c r="K25" s="1" t="n">
        <v>0.0038</v>
      </c>
      <c r="L25" s="1" t="n">
        <v>0.002</v>
      </c>
      <c r="M25" s="1" t="n">
        <f aca="false">SQRT(3.14159)*0.1/2</f>
        <v>0.0886226551170749</v>
      </c>
      <c r="N25" s="1" t="n">
        <v>1</v>
      </c>
      <c r="O25" s="1" t="n">
        <f aca="false">0.005/J25</f>
        <v>0.636620310097753</v>
      </c>
      <c r="P25" s="1" t="n">
        <v>0.0002</v>
      </c>
      <c r="Q25" s="1" t="n">
        <v>0.0008</v>
      </c>
      <c r="R25" s="1" t="n">
        <v>0.27</v>
      </c>
      <c r="S25" s="1" t="n">
        <v>18</v>
      </c>
      <c r="T25" s="1" t="n">
        <v>42.9528</v>
      </c>
      <c r="U25" s="1" t="n">
        <v>42.9528</v>
      </c>
      <c r="V25" s="1" t="n">
        <v>0</v>
      </c>
      <c r="W25" s="1" t="n">
        <v>0.3</v>
      </c>
      <c r="X25" s="1" t="n">
        <v>1</v>
      </c>
      <c r="Y25" s="1" t="n">
        <v>38.67</v>
      </c>
      <c r="Z25" s="1" t="n">
        <v>0.19</v>
      </c>
      <c r="AA25" s="1" t="n">
        <v>19.8</v>
      </c>
      <c r="AB25" s="1" t="n">
        <v>0.21</v>
      </c>
      <c r="AC25" s="1" t="n">
        <f aca="false">AD25/J25</f>
        <v>3.43774967452787</v>
      </c>
      <c r="AD25" s="3" t="n">
        <v>0.027</v>
      </c>
      <c r="AE25" s="1" t="n">
        <v>5.4</v>
      </c>
      <c r="AF25" s="1" t="n">
        <v>0</v>
      </c>
    </row>
    <row r="26" customFormat="false" ht="12.8" hidden="false" customHeight="false" outlineLevel="0" collapsed="false">
      <c r="A26" s="1" t="s">
        <v>56</v>
      </c>
      <c r="B26" s="1" t="n">
        <v>38.69</v>
      </c>
      <c r="C26" s="1" t="n">
        <v>19.62</v>
      </c>
      <c r="D26" s="1" t="n">
        <v>0.3</v>
      </c>
      <c r="E26" s="1" t="n">
        <v>0</v>
      </c>
      <c r="F26" s="1" t="n">
        <v>0.00015</v>
      </c>
      <c r="G26" s="1" t="n">
        <v>0.7</v>
      </c>
      <c r="H26" s="1" t="n">
        <v>3.5E-007</v>
      </c>
      <c r="I26" s="1" t="n">
        <v>0.3</v>
      </c>
      <c r="J26" s="1" t="n">
        <f aca="false">3.14159*0.1^2/4</f>
        <v>0.007853975</v>
      </c>
      <c r="K26" s="1" t="n">
        <v>0.0038</v>
      </c>
      <c r="L26" s="1" t="n">
        <v>0.002</v>
      </c>
      <c r="M26" s="1" t="n">
        <f aca="false">SQRT(3.14159)*0.1/2</f>
        <v>0.0886226551170749</v>
      </c>
      <c r="N26" s="1" t="n">
        <v>1</v>
      </c>
      <c r="O26" s="1" t="n">
        <f aca="false">0.005/J26</f>
        <v>0.636620310097753</v>
      </c>
      <c r="P26" s="1" t="n">
        <v>0.0002</v>
      </c>
      <c r="Q26" s="1" t="n">
        <v>0.0008</v>
      </c>
      <c r="R26" s="1" t="n">
        <v>0.27</v>
      </c>
      <c r="S26" s="1" t="n">
        <v>18</v>
      </c>
      <c r="T26" s="1" t="n">
        <v>52.2864</v>
      </c>
      <c r="U26" s="1" t="n">
        <v>52.2864</v>
      </c>
      <c r="V26" s="1" t="n">
        <v>0</v>
      </c>
      <c r="W26" s="1" t="n">
        <v>0.3</v>
      </c>
      <c r="X26" s="1" t="n">
        <v>1</v>
      </c>
      <c r="Y26" s="1" t="n">
        <v>38.31</v>
      </c>
      <c r="Z26" s="1" t="n">
        <v>0.19</v>
      </c>
      <c r="AA26" s="1" t="n">
        <v>20.18</v>
      </c>
      <c r="AB26" s="1" t="n">
        <v>0.21</v>
      </c>
      <c r="AC26" s="1" t="n">
        <f aca="false">AD26/J26</f>
        <v>3.43774967452787</v>
      </c>
      <c r="AD26" s="3" t="n">
        <v>0.027</v>
      </c>
      <c r="AE26" s="1" t="n">
        <v>5.4</v>
      </c>
      <c r="AF26" s="1" t="n">
        <v>0</v>
      </c>
    </row>
    <row r="27" customFormat="false" ht="12.8" hidden="false" customHeight="false" outlineLevel="0" collapsed="false">
      <c r="A27" s="1" t="s">
        <v>57</v>
      </c>
      <c r="B27" s="1" t="n">
        <v>40.16</v>
      </c>
      <c r="C27" s="1" t="n">
        <v>21.62</v>
      </c>
      <c r="D27" s="1" t="n">
        <v>0.3</v>
      </c>
      <c r="E27" s="1" t="n">
        <v>0</v>
      </c>
      <c r="F27" s="1" t="n">
        <v>0.00015</v>
      </c>
      <c r="G27" s="1" t="n">
        <v>0.7</v>
      </c>
      <c r="H27" s="1" t="n">
        <v>3.5E-007</v>
      </c>
      <c r="I27" s="1" t="n">
        <v>0.3</v>
      </c>
      <c r="J27" s="1" t="n">
        <f aca="false">3.14159*0.1^2/4</f>
        <v>0.007853975</v>
      </c>
      <c r="K27" s="1" t="n">
        <v>0.0038</v>
      </c>
      <c r="L27" s="1" t="n">
        <v>0.002</v>
      </c>
      <c r="M27" s="1" t="n">
        <f aca="false">SQRT(3.14159)*0.1/2</f>
        <v>0.0886226551170749</v>
      </c>
      <c r="N27" s="1" t="n">
        <v>1</v>
      </c>
      <c r="O27" s="1" t="n">
        <f aca="false">0.005/J27</f>
        <v>0.636620310097753</v>
      </c>
      <c r="P27" s="1" t="n">
        <v>0.0002</v>
      </c>
      <c r="Q27" s="1" t="n">
        <v>0.0008</v>
      </c>
      <c r="R27" s="1" t="n">
        <v>0.27</v>
      </c>
      <c r="S27" s="1" t="n">
        <v>18</v>
      </c>
      <c r="T27" s="1" t="n">
        <v>61.7646</v>
      </c>
      <c r="U27" s="1" t="n">
        <v>61.7646</v>
      </c>
      <c r="V27" s="1" t="n">
        <v>0</v>
      </c>
      <c r="W27" s="1" t="n">
        <v>0.3</v>
      </c>
      <c r="X27" s="1" t="n">
        <v>1</v>
      </c>
      <c r="Y27" s="1" t="n">
        <v>39.83</v>
      </c>
      <c r="Z27" s="1" t="n">
        <v>0.19</v>
      </c>
      <c r="AA27" s="1" t="n">
        <v>22.22</v>
      </c>
      <c r="AB27" s="1" t="n">
        <v>0.21</v>
      </c>
      <c r="AC27" s="1" t="n">
        <f aca="false">AD27/J27</f>
        <v>4.32901810866472</v>
      </c>
      <c r="AD27" s="3" t="n">
        <v>0.034</v>
      </c>
      <c r="AE27" s="1" t="n">
        <v>6.8</v>
      </c>
      <c r="AF27" s="1" t="n">
        <v>0</v>
      </c>
    </row>
    <row r="28" customFormat="false" ht="12.8" hidden="false" customHeight="false" outlineLevel="0" collapsed="false">
      <c r="A28" s="1" t="s">
        <v>58</v>
      </c>
      <c r="B28" s="1" t="n">
        <v>61.27</v>
      </c>
      <c r="C28" s="1" t="n">
        <v>40.6</v>
      </c>
      <c r="D28" s="1" t="n">
        <v>0.3</v>
      </c>
      <c r="E28" s="1" t="n">
        <v>0</v>
      </c>
      <c r="F28" s="1" t="n">
        <v>0.00015</v>
      </c>
      <c r="G28" s="1" t="n">
        <v>0.7</v>
      </c>
      <c r="H28" s="1" t="n">
        <v>3.5E-007</v>
      </c>
      <c r="I28" s="1" t="n">
        <v>0.3</v>
      </c>
      <c r="J28" s="1" t="n">
        <f aca="false">3.14159*0.1^2/4</f>
        <v>0.007853975</v>
      </c>
      <c r="K28" s="1" t="n">
        <v>0.0038</v>
      </c>
      <c r="L28" s="1" t="n">
        <v>0.002</v>
      </c>
      <c r="M28" s="1" t="n">
        <f aca="false">SQRT(3.14159)*0.1/2</f>
        <v>0.0886226551170749</v>
      </c>
      <c r="N28" s="1" t="n">
        <v>1</v>
      </c>
      <c r="O28" s="1" t="n">
        <f aca="false">0.005/J28</f>
        <v>0.636620310097753</v>
      </c>
      <c r="P28" s="1" t="n">
        <v>0.0002</v>
      </c>
      <c r="Q28" s="1" t="n">
        <v>0.0008</v>
      </c>
      <c r="R28" s="1" t="n">
        <v>0.27</v>
      </c>
      <c r="S28" s="1" t="n">
        <v>18</v>
      </c>
      <c r="T28" s="1" t="n">
        <v>52.2864</v>
      </c>
      <c r="U28" s="1" t="n">
        <v>52.2864</v>
      </c>
      <c r="V28" s="1" t="n">
        <v>0</v>
      </c>
      <c r="W28" s="1" t="n">
        <v>0.3</v>
      </c>
      <c r="X28" s="1" t="n">
        <v>1</v>
      </c>
      <c r="Y28" s="1" t="n">
        <v>60.39</v>
      </c>
      <c r="Z28" s="1" t="n">
        <v>0.19</v>
      </c>
      <c r="AA28" s="1" t="n">
        <v>41.47</v>
      </c>
      <c r="AB28" s="1" t="n">
        <v>0.21</v>
      </c>
      <c r="AC28" s="1" t="n">
        <f aca="false">AD28/J28</f>
        <v>7.76676778319259</v>
      </c>
      <c r="AD28" s="3" t="n">
        <v>0.061</v>
      </c>
      <c r="AE28" s="1" t="n">
        <v>12.2</v>
      </c>
      <c r="AF28" s="1" t="n">
        <v>0</v>
      </c>
    </row>
    <row r="29" customFormat="false" ht="12.8" hidden="false" customHeight="false" outlineLevel="0" collapsed="false">
      <c r="A29" s="1" t="s">
        <v>59</v>
      </c>
      <c r="B29" s="1" t="n">
        <v>61.4</v>
      </c>
      <c r="C29" s="1" t="n">
        <v>40.83</v>
      </c>
      <c r="D29" s="1" t="n">
        <v>0.3</v>
      </c>
      <c r="E29" s="1" t="n">
        <v>0</v>
      </c>
      <c r="F29" s="1" t="n">
        <v>0.00015</v>
      </c>
      <c r="G29" s="1" t="n">
        <v>0.7</v>
      </c>
      <c r="H29" s="1" t="n">
        <v>3.5E-007</v>
      </c>
      <c r="I29" s="1" t="n">
        <v>0.3</v>
      </c>
      <c r="J29" s="1" t="n">
        <f aca="false">3.14159*0.1^2/4</f>
        <v>0.007853975</v>
      </c>
      <c r="K29" s="1" t="n">
        <v>0.0038</v>
      </c>
      <c r="L29" s="1" t="n">
        <v>0.002</v>
      </c>
      <c r="M29" s="1" t="n">
        <f aca="false">SQRT(3.14159)*0.1/2</f>
        <v>0.0886226551170749</v>
      </c>
      <c r="N29" s="1" t="n">
        <v>1</v>
      </c>
      <c r="O29" s="1" t="n">
        <f aca="false">0.005/J29</f>
        <v>0.636620310097753</v>
      </c>
      <c r="P29" s="1" t="n">
        <v>0.0002</v>
      </c>
      <c r="Q29" s="1" t="n">
        <v>0.0008</v>
      </c>
      <c r="R29" s="1" t="n">
        <v>0.27</v>
      </c>
      <c r="S29" s="1" t="n">
        <v>18</v>
      </c>
      <c r="T29" s="1" t="n">
        <v>42.9528</v>
      </c>
      <c r="U29" s="1" t="n">
        <v>42.9528</v>
      </c>
      <c r="V29" s="1" t="n">
        <v>0</v>
      </c>
      <c r="W29" s="1" t="n">
        <v>0.3</v>
      </c>
      <c r="X29" s="1" t="n">
        <v>1</v>
      </c>
      <c r="Y29" s="1" t="n">
        <v>60.96</v>
      </c>
      <c r="Z29" s="1" t="n">
        <v>0.19</v>
      </c>
      <c r="AA29" s="1" t="n">
        <v>41.97</v>
      </c>
      <c r="AB29" s="1" t="n">
        <v>0.21</v>
      </c>
      <c r="AC29" s="1" t="n">
        <f aca="false">AD29/J29</f>
        <v>8.02141590723169</v>
      </c>
      <c r="AD29" s="3" t="n">
        <v>0.063</v>
      </c>
      <c r="AE29" s="1" t="n">
        <v>12.6</v>
      </c>
      <c r="AF29" s="1" t="n">
        <v>0</v>
      </c>
    </row>
    <row r="30" customFormat="false" ht="12.8" hidden="false" customHeight="false" outlineLevel="0" collapsed="false">
      <c r="A30" s="1" t="s">
        <v>60</v>
      </c>
      <c r="B30" s="1" t="n">
        <v>61.26</v>
      </c>
      <c r="C30" s="1" t="n">
        <v>40.51</v>
      </c>
      <c r="D30" s="1" t="n">
        <v>0.3</v>
      </c>
      <c r="E30" s="1" t="n">
        <v>0</v>
      </c>
      <c r="F30" s="1" t="n">
        <v>0.00015</v>
      </c>
      <c r="G30" s="1" t="n">
        <v>0.7</v>
      </c>
      <c r="H30" s="1" t="n">
        <v>3.5E-007</v>
      </c>
      <c r="I30" s="1" t="n">
        <v>0.3</v>
      </c>
      <c r="J30" s="1" t="n">
        <f aca="false">3.14159*0.1^2/4</f>
        <v>0.007853975</v>
      </c>
      <c r="K30" s="1" t="n">
        <v>0.0038</v>
      </c>
      <c r="L30" s="1" t="n">
        <v>0.002</v>
      </c>
      <c r="M30" s="1" t="n">
        <f aca="false">SQRT(3.14159)*0.1/2</f>
        <v>0.0886226551170749</v>
      </c>
      <c r="N30" s="1" t="n">
        <v>1</v>
      </c>
      <c r="O30" s="1" t="n">
        <f aca="false">0.005/J30</f>
        <v>0.636620310097753</v>
      </c>
      <c r="P30" s="1" t="n">
        <v>0.0002</v>
      </c>
      <c r="Q30" s="1" t="n">
        <v>0.0008</v>
      </c>
      <c r="R30" s="1" t="n">
        <v>0.27</v>
      </c>
      <c r="S30" s="1" t="n">
        <v>18</v>
      </c>
      <c r="T30" s="1" t="n">
        <v>61.7646</v>
      </c>
      <c r="U30" s="1" t="n">
        <v>61.7646</v>
      </c>
      <c r="V30" s="1" t="n">
        <v>0</v>
      </c>
      <c r="W30" s="1" t="n">
        <v>0.3</v>
      </c>
      <c r="X30" s="1" t="n">
        <v>1</v>
      </c>
      <c r="Y30" s="1" t="n">
        <v>61.04</v>
      </c>
      <c r="Z30" s="1" t="n">
        <v>0.19</v>
      </c>
      <c r="AA30" s="1" t="n">
        <v>41.44</v>
      </c>
      <c r="AB30" s="1" t="n">
        <v>0.21</v>
      </c>
      <c r="AC30" s="1" t="n">
        <f aca="false">AD30/J30</f>
        <v>9.04000840338809</v>
      </c>
      <c r="AD30" s="3" t="n">
        <v>0.071</v>
      </c>
      <c r="AE30" s="1" t="n">
        <v>14.2</v>
      </c>
      <c r="AF30" s="1" t="n">
        <v>0</v>
      </c>
    </row>
    <row r="31" customFormat="false" ht="12.8" hidden="false" customHeight="false" outlineLevel="0" collapsed="false">
      <c r="A31" s="1" t="s">
        <v>61</v>
      </c>
      <c r="B31" s="1" t="n">
        <v>40.25</v>
      </c>
      <c r="C31" s="1" t="n">
        <v>21.65</v>
      </c>
      <c r="D31" s="1" t="n">
        <v>0.3</v>
      </c>
      <c r="E31" s="1" t="n">
        <v>0</v>
      </c>
      <c r="F31" s="1" t="n">
        <v>0.00015</v>
      </c>
      <c r="G31" s="1" t="n">
        <v>0.7</v>
      </c>
      <c r="H31" s="1" t="n">
        <v>3.5E-007</v>
      </c>
      <c r="I31" s="1" t="n">
        <v>0.3</v>
      </c>
      <c r="J31" s="1" t="n">
        <f aca="false">3.14159*0.1^2/4</f>
        <v>0.007853975</v>
      </c>
      <c r="K31" s="1" t="n">
        <v>0.0038</v>
      </c>
      <c r="L31" s="1" t="n">
        <v>0.002</v>
      </c>
      <c r="M31" s="1" t="n">
        <f aca="false">SQRT(3.14159)*0.1/2</f>
        <v>0.0886226551170749</v>
      </c>
      <c r="N31" s="1" t="n">
        <v>1</v>
      </c>
      <c r="O31" s="1" t="n">
        <f aca="false">0.005/J31</f>
        <v>0.636620310097753</v>
      </c>
      <c r="P31" s="1" t="n">
        <v>0.0002</v>
      </c>
      <c r="Q31" s="1" t="n">
        <v>0.0008</v>
      </c>
      <c r="R31" s="1" t="n">
        <v>0.27</v>
      </c>
      <c r="S31" s="1" t="n">
        <v>18</v>
      </c>
      <c r="T31" s="1" t="n">
        <v>61.7646</v>
      </c>
      <c r="U31" s="1" t="n">
        <v>61.7646</v>
      </c>
      <c r="V31" s="1" t="n">
        <v>0</v>
      </c>
      <c r="W31" s="1" t="n">
        <v>0.3</v>
      </c>
      <c r="X31" s="1" t="n">
        <v>1</v>
      </c>
      <c r="Y31" s="1" t="n">
        <v>39.98</v>
      </c>
      <c r="Z31" s="1" t="n">
        <v>0.19</v>
      </c>
      <c r="AA31" s="1" t="n">
        <v>22.25</v>
      </c>
      <c r="AB31" s="1" t="n">
        <v>0.21</v>
      </c>
      <c r="AC31" s="1" t="n">
        <f aca="false">AD31/J31</f>
        <v>8.78536027934899</v>
      </c>
      <c r="AD31" s="3" t="n">
        <v>0.069</v>
      </c>
      <c r="AE31" s="1" t="n">
        <v>13.8</v>
      </c>
      <c r="AF31" s="1" t="n">
        <v>0</v>
      </c>
    </row>
    <row r="32" customFormat="false" ht="12.8" hidden="false" customHeight="false" outlineLevel="0" collapsed="false">
      <c r="A32" s="1" t="s">
        <v>62</v>
      </c>
      <c r="B32" s="1" t="n">
        <v>39.8</v>
      </c>
      <c r="C32" s="1" t="n">
        <v>19.99</v>
      </c>
      <c r="D32" s="1" t="n">
        <v>0.3</v>
      </c>
      <c r="E32" s="1" t="n">
        <v>0</v>
      </c>
      <c r="F32" s="1" t="n">
        <v>0.00015</v>
      </c>
      <c r="G32" s="1" t="n">
        <v>0.7</v>
      </c>
      <c r="H32" s="1" t="n">
        <v>3.5E-007</v>
      </c>
      <c r="I32" s="1" t="n">
        <v>0.3</v>
      </c>
      <c r="J32" s="1" t="n">
        <f aca="false">3.14159*0.1^2/4</f>
        <v>0.007853975</v>
      </c>
      <c r="K32" s="1" t="n">
        <v>0.0038</v>
      </c>
      <c r="L32" s="1" t="n">
        <v>0.002</v>
      </c>
      <c r="M32" s="1" t="n">
        <f aca="false">SQRT(3.14159)*0.1/2</f>
        <v>0.0886226551170749</v>
      </c>
      <c r="N32" s="1" t="n">
        <v>1</v>
      </c>
      <c r="O32" s="1" t="n">
        <f aca="false">0.005/J32</f>
        <v>0.636620310097753</v>
      </c>
      <c r="P32" s="1" t="n">
        <v>0.0002</v>
      </c>
      <c r="Q32" s="1" t="n">
        <v>0.0008</v>
      </c>
      <c r="R32" s="1" t="n">
        <v>0.27</v>
      </c>
      <c r="S32" s="1" t="n">
        <v>18</v>
      </c>
      <c r="T32" s="1" t="n">
        <v>52.2864</v>
      </c>
      <c r="U32" s="1" t="n">
        <v>52.2864</v>
      </c>
      <c r="V32" s="1" t="n">
        <v>0</v>
      </c>
      <c r="W32" s="1" t="n">
        <v>0.3</v>
      </c>
      <c r="X32" s="1" t="n">
        <v>1</v>
      </c>
      <c r="Y32" s="1" t="n">
        <v>39.19</v>
      </c>
      <c r="Z32" s="1" t="n">
        <v>0.19</v>
      </c>
      <c r="AA32" s="1" t="n">
        <v>20.64</v>
      </c>
      <c r="AB32" s="1" t="n">
        <v>0.21</v>
      </c>
      <c r="AC32" s="1" t="n">
        <f aca="false">AD32/J32</f>
        <v>3.69239779856697</v>
      </c>
      <c r="AD32" s="3" t="n">
        <v>0.029</v>
      </c>
      <c r="AE32" s="1" t="n">
        <v>5.8</v>
      </c>
      <c r="AF32" s="1" t="n">
        <v>0</v>
      </c>
    </row>
    <row r="33" customFormat="false" ht="12.8" hidden="false" customHeight="false" outlineLevel="0" collapsed="false">
      <c r="A33" s="1" t="s">
        <v>63</v>
      </c>
      <c r="B33" s="1" t="n">
        <v>39.77</v>
      </c>
      <c r="C33" s="1" t="n">
        <v>20.31</v>
      </c>
      <c r="D33" s="1" t="n">
        <v>0.3</v>
      </c>
      <c r="E33" s="1" t="n">
        <v>0</v>
      </c>
      <c r="F33" s="1" t="n">
        <v>0.00015</v>
      </c>
      <c r="G33" s="1" t="n">
        <v>0.7</v>
      </c>
      <c r="H33" s="1" t="n">
        <v>3.5E-007</v>
      </c>
      <c r="I33" s="1" t="n">
        <v>0.3</v>
      </c>
      <c r="J33" s="1" t="n">
        <f aca="false">3.14159*0.1^2/4</f>
        <v>0.007853975</v>
      </c>
      <c r="K33" s="1" t="n">
        <v>0.0038</v>
      </c>
      <c r="L33" s="1" t="n">
        <v>0.002</v>
      </c>
      <c r="M33" s="1" t="n">
        <f aca="false">SQRT(3.14159)*0.1/2</f>
        <v>0.0886226551170749</v>
      </c>
      <c r="N33" s="1" t="n">
        <v>1</v>
      </c>
      <c r="O33" s="1" t="n">
        <f aca="false">0.005/J33</f>
        <v>0.636620310097753</v>
      </c>
      <c r="P33" s="1" t="n">
        <v>0.0002</v>
      </c>
      <c r="Q33" s="1" t="n">
        <v>0.0008</v>
      </c>
      <c r="R33" s="1" t="n">
        <v>0.27</v>
      </c>
      <c r="S33" s="1" t="n">
        <v>18</v>
      </c>
      <c r="T33" s="1" t="n">
        <v>42.9528</v>
      </c>
      <c r="U33" s="1" t="n">
        <v>42.9528</v>
      </c>
      <c r="V33" s="1" t="n">
        <v>0</v>
      </c>
      <c r="W33" s="1" t="n">
        <v>0.3</v>
      </c>
      <c r="X33" s="1" t="n">
        <v>1</v>
      </c>
      <c r="Y33" s="1" t="n">
        <v>39.18</v>
      </c>
      <c r="Z33" s="1" t="n">
        <v>0.19</v>
      </c>
      <c r="AA33" s="1" t="n">
        <v>21.07</v>
      </c>
      <c r="AB33" s="1" t="n">
        <v>0.21</v>
      </c>
      <c r="AC33" s="1" t="n">
        <f aca="false">AD33/J33</f>
        <v>3.69239779856697</v>
      </c>
      <c r="AD33" s="3" t="n">
        <v>0.029</v>
      </c>
      <c r="AE33" s="1" t="n">
        <v>5.8</v>
      </c>
      <c r="AF33" s="1" t="n">
        <v>0</v>
      </c>
    </row>
    <row r="34" customFormat="false" ht="12.8" hidden="false" customHeight="false" outlineLevel="0" collapsed="false">
      <c r="A34" s="1" t="s">
        <v>64</v>
      </c>
      <c r="B34" s="1" t="n">
        <v>40.69</v>
      </c>
      <c r="C34" s="1" t="n">
        <v>20.79</v>
      </c>
      <c r="D34" s="1" t="n">
        <v>0.3</v>
      </c>
      <c r="E34" s="1" t="n">
        <v>0</v>
      </c>
      <c r="F34" s="1" t="n">
        <v>0.00015</v>
      </c>
      <c r="G34" s="1" t="n">
        <v>0.7</v>
      </c>
      <c r="H34" s="1" t="n">
        <v>3.5E-007</v>
      </c>
      <c r="I34" s="1" t="n">
        <v>0.3</v>
      </c>
      <c r="J34" s="1" t="n">
        <f aca="false">3.14159*0.1^2/4</f>
        <v>0.007853975</v>
      </c>
      <c r="K34" s="1" t="n">
        <v>0.0038</v>
      </c>
      <c r="L34" s="1" t="n">
        <v>0.002</v>
      </c>
      <c r="M34" s="1" t="n">
        <f aca="false">SQRT(3.14159)*0.1/2</f>
        <v>0.0886226551170749</v>
      </c>
      <c r="N34" s="1" t="n">
        <v>1</v>
      </c>
      <c r="O34" s="1" t="n">
        <f aca="false">0.005/J34</f>
        <v>0.636620310097753</v>
      </c>
      <c r="P34" s="1" t="n">
        <v>0.0002</v>
      </c>
      <c r="Q34" s="1" t="n">
        <v>0.0008</v>
      </c>
      <c r="R34" s="1" t="n">
        <v>0.27</v>
      </c>
      <c r="S34" s="1" t="n">
        <v>18</v>
      </c>
      <c r="T34" s="1" t="n">
        <v>42.9528</v>
      </c>
      <c r="U34" s="1" t="n">
        <v>42.9528</v>
      </c>
      <c r="V34" s="1" t="n">
        <v>0</v>
      </c>
      <c r="W34" s="1" t="n">
        <v>0.3</v>
      </c>
      <c r="X34" s="1" t="n">
        <v>1</v>
      </c>
      <c r="Y34" s="1" t="n">
        <v>40.31</v>
      </c>
      <c r="Z34" s="1" t="n">
        <v>0.19</v>
      </c>
      <c r="AA34" s="1" t="n">
        <v>21.39</v>
      </c>
      <c r="AB34" s="1" t="n">
        <v>0.21</v>
      </c>
      <c r="AC34" s="1" t="n">
        <f aca="false">AD34/J34</f>
        <v>3.31042561250832</v>
      </c>
      <c r="AD34" s="3" t="n">
        <v>0.026</v>
      </c>
      <c r="AE34" s="1" t="n">
        <v>5.2</v>
      </c>
      <c r="AF34" s="1" t="n">
        <v>0</v>
      </c>
    </row>
    <row r="35" customFormat="false" ht="12.8" hidden="false" customHeight="false" outlineLevel="0" collapsed="false">
      <c r="A35" s="1" t="s">
        <v>65</v>
      </c>
      <c r="B35" s="1" t="n">
        <v>38.87</v>
      </c>
      <c r="C35" s="1" t="n">
        <v>19.55</v>
      </c>
      <c r="D35" s="1" t="n">
        <v>0.3</v>
      </c>
      <c r="E35" s="1" t="n">
        <v>0</v>
      </c>
      <c r="F35" s="1" t="n">
        <v>0.00015</v>
      </c>
      <c r="G35" s="1" t="n">
        <v>0.7</v>
      </c>
      <c r="H35" s="1" t="n">
        <v>3.5E-007</v>
      </c>
      <c r="I35" s="1" t="n">
        <v>0.3</v>
      </c>
      <c r="J35" s="1" t="n">
        <f aca="false">3.14159*0.1^2/4</f>
        <v>0.007853975</v>
      </c>
      <c r="K35" s="1" t="n">
        <v>0.0038</v>
      </c>
      <c r="L35" s="1" t="n">
        <v>0.002</v>
      </c>
      <c r="M35" s="1" t="n">
        <f aca="false">SQRT(3.14159)*0.1/2</f>
        <v>0.0886226551170749</v>
      </c>
      <c r="N35" s="1" t="n">
        <v>1</v>
      </c>
      <c r="O35" s="1" t="n">
        <f aca="false">0.005/J35</f>
        <v>0.636620310097753</v>
      </c>
      <c r="P35" s="1" t="n">
        <v>0.0002</v>
      </c>
      <c r="Q35" s="1" t="n">
        <v>0.0008</v>
      </c>
      <c r="R35" s="1" t="n">
        <v>0.27</v>
      </c>
      <c r="S35" s="1" t="n">
        <v>18</v>
      </c>
      <c r="T35" s="1" t="n">
        <v>52.2864</v>
      </c>
      <c r="U35" s="1" t="n">
        <v>52.2864</v>
      </c>
      <c r="V35" s="1" t="n">
        <v>0</v>
      </c>
      <c r="W35" s="1" t="n">
        <v>0.3</v>
      </c>
      <c r="X35" s="1" t="n">
        <v>1</v>
      </c>
      <c r="Y35" s="1" t="n">
        <v>38.42</v>
      </c>
      <c r="Z35" s="1" t="n">
        <v>0.19</v>
      </c>
      <c r="AA35" s="1" t="n">
        <v>20.25</v>
      </c>
      <c r="AB35" s="1" t="n">
        <v>0.21</v>
      </c>
      <c r="AC35" s="1" t="n">
        <f aca="false">AD35/J35</f>
        <v>4.20169404664517</v>
      </c>
      <c r="AD35" s="3" t="n">
        <v>0.033</v>
      </c>
      <c r="AE35" s="1" t="n">
        <v>6.6</v>
      </c>
      <c r="AF35" s="1" t="n">
        <v>0</v>
      </c>
    </row>
    <row r="36" customFormat="false" ht="12.8" hidden="false" customHeight="false" outlineLevel="0" collapsed="false">
      <c r="A36" s="1" t="s">
        <v>66</v>
      </c>
      <c r="B36" s="1" t="n">
        <v>39.11</v>
      </c>
      <c r="C36" s="1" t="n">
        <v>21.59</v>
      </c>
      <c r="D36" s="1" t="n">
        <v>0.3</v>
      </c>
      <c r="E36" s="1" t="n">
        <v>0</v>
      </c>
      <c r="F36" s="1" t="n">
        <v>0.00015</v>
      </c>
      <c r="G36" s="1" t="n">
        <v>0.7</v>
      </c>
      <c r="H36" s="1" t="n">
        <v>3.5E-007</v>
      </c>
      <c r="I36" s="1" t="n">
        <v>0.3</v>
      </c>
      <c r="J36" s="1" t="n">
        <f aca="false">3.14159*0.1^2/4</f>
        <v>0.007853975</v>
      </c>
      <c r="K36" s="1" t="n">
        <v>0.0038</v>
      </c>
      <c r="L36" s="1" t="n">
        <v>0.002</v>
      </c>
      <c r="M36" s="1" t="n">
        <f aca="false">SQRT(3.14159)*0.1/2</f>
        <v>0.0886226551170749</v>
      </c>
      <c r="N36" s="1" t="n">
        <v>1</v>
      </c>
      <c r="O36" s="1" t="n">
        <f aca="false">0.005/J36</f>
        <v>0.636620310097753</v>
      </c>
      <c r="P36" s="1" t="n">
        <v>0.0002</v>
      </c>
      <c r="Q36" s="1" t="n">
        <v>0.0008</v>
      </c>
      <c r="R36" s="1" t="n">
        <v>0.27</v>
      </c>
      <c r="S36" s="1" t="n">
        <v>18</v>
      </c>
      <c r="T36" s="1" t="n">
        <v>61.7646</v>
      </c>
      <c r="U36" s="1" t="n">
        <v>61.7646</v>
      </c>
      <c r="V36" s="1" t="n">
        <v>0</v>
      </c>
      <c r="W36" s="1" t="n">
        <v>0.3</v>
      </c>
      <c r="X36" s="1" t="n">
        <v>1</v>
      </c>
      <c r="Y36" s="1" t="n">
        <v>38.85</v>
      </c>
      <c r="Z36" s="1" t="n">
        <v>0.19</v>
      </c>
      <c r="AA36" s="1" t="n">
        <v>22.04</v>
      </c>
      <c r="AB36" s="1" t="n">
        <v>0.21</v>
      </c>
      <c r="AC36" s="1" t="n">
        <f aca="false">AD36/J36</f>
        <v>3.56507373654742</v>
      </c>
      <c r="AD36" s="3" t="n">
        <v>0.028</v>
      </c>
      <c r="AE36" s="1" t="n">
        <v>5.6</v>
      </c>
      <c r="AF36" s="1" t="n">
        <v>0</v>
      </c>
    </row>
    <row r="37" customFormat="false" ht="12.8" hidden="false" customHeight="false" outlineLevel="0" collapsed="false">
      <c r="A37" s="1" t="s">
        <v>67</v>
      </c>
      <c r="B37" s="1" t="n">
        <v>60.51</v>
      </c>
      <c r="C37" s="1" t="n">
        <v>39.68</v>
      </c>
      <c r="D37" s="1" t="n">
        <v>0.3</v>
      </c>
      <c r="E37" s="1" t="n">
        <v>0</v>
      </c>
      <c r="F37" s="1" t="n">
        <v>0.00015</v>
      </c>
      <c r="G37" s="1" t="n">
        <v>0.7</v>
      </c>
      <c r="H37" s="1" t="n">
        <v>3.5E-007</v>
      </c>
      <c r="I37" s="1" t="n">
        <v>0.3</v>
      </c>
      <c r="J37" s="1" t="n">
        <f aca="false">3.14159*0.1^2/4</f>
        <v>0.007853975</v>
      </c>
      <c r="K37" s="1" t="n">
        <v>0.0038</v>
      </c>
      <c r="L37" s="1" t="n">
        <v>0.002</v>
      </c>
      <c r="M37" s="1" t="n">
        <f aca="false">SQRT(3.14159)*0.1/2</f>
        <v>0.0886226551170749</v>
      </c>
      <c r="N37" s="1" t="n">
        <v>1</v>
      </c>
      <c r="O37" s="1" t="n">
        <f aca="false">0.005/J37</f>
        <v>0.636620310097753</v>
      </c>
      <c r="P37" s="1" t="n">
        <v>0.0002</v>
      </c>
      <c r="Q37" s="1" t="n">
        <v>0.0008</v>
      </c>
      <c r="R37" s="1" t="n">
        <v>0.27</v>
      </c>
      <c r="S37" s="1" t="n">
        <v>18</v>
      </c>
      <c r="T37" s="1" t="n">
        <v>52.2864</v>
      </c>
      <c r="U37" s="1" t="n">
        <v>52.2864</v>
      </c>
      <c r="V37" s="1" t="n">
        <v>0</v>
      </c>
      <c r="W37" s="1" t="n">
        <v>0.3</v>
      </c>
      <c r="X37" s="1" t="n">
        <v>1</v>
      </c>
      <c r="Y37" s="1" t="n">
        <v>60.21</v>
      </c>
      <c r="Z37" s="1" t="n">
        <v>0.19</v>
      </c>
      <c r="AA37" s="1" t="n">
        <v>40.75</v>
      </c>
      <c r="AB37" s="1" t="n">
        <v>0.21</v>
      </c>
      <c r="AC37" s="1" t="n">
        <f aca="false">AD37/J37</f>
        <v>8.78536027934899</v>
      </c>
      <c r="AD37" s="3" t="n">
        <v>0.069</v>
      </c>
      <c r="AE37" s="1" t="n">
        <v>13.8</v>
      </c>
      <c r="AF37" s="1" t="n">
        <v>0</v>
      </c>
    </row>
    <row r="38" customFormat="false" ht="12.8" hidden="false" customHeight="false" outlineLevel="0" collapsed="false">
      <c r="A38" s="1" t="s">
        <v>68</v>
      </c>
      <c r="B38" s="1" t="n">
        <v>80.35</v>
      </c>
      <c r="C38" s="1" t="n">
        <v>62.21</v>
      </c>
      <c r="D38" s="1" t="n">
        <v>0.3</v>
      </c>
      <c r="E38" s="1" t="n">
        <v>0</v>
      </c>
      <c r="F38" s="1" t="n">
        <v>0.00015</v>
      </c>
      <c r="G38" s="1" t="n">
        <v>0.7</v>
      </c>
      <c r="H38" s="1" t="n">
        <v>3.5E-007</v>
      </c>
      <c r="I38" s="1" t="n">
        <v>0.3</v>
      </c>
      <c r="J38" s="1" t="n">
        <f aca="false">3.14159*0.1^2/4</f>
        <v>0.007853975</v>
      </c>
      <c r="K38" s="1" t="n">
        <v>0.0038</v>
      </c>
      <c r="L38" s="1" t="n">
        <v>0.002</v>
      </c>
      <c r="M38" s="1" t="n">
        <f aca="false">SQRT(3.14159)*0.1/2</f>
        <v>0.0886226551170749</v>
      </c>
      <c r="N38" s="1" t="n">
        <v>1</v>
      </c>
      <c r="O38" s="1" t="n">
        <f aca="false">0.005/J38</f>
        <v>0.636620310097753</v>
      </c>
      <c r="P38" s="1" t="n">
        <v>0.0002</v>
      </c>
      <c r="Q38" s="1" t="n">
        <v>0.0008</v>
      </c>
      <c r="R38" s="1" t="n">
        <v>0.27</v>
      </c>
      <c r="S38" s="1" t="n">
        <v>18</v>
      </c>
      <c r="T38" s="1" t="n">
        <v>61.7646</v>
      </c>
      <c r="U38" s="1" t="n">
        <v>61.7646</v>
      </c>
      <c r="V38" s="1" t="n">
        <v>0</v>
      </c>
      <c r="W38" s="1" t="n">
        <v>0.3</v>
      </c>
      <c r="X38" s="1" t="n">
        <v>1</v>
      </c>
      <c r="Y38" s="1" t="n">
        <v>79.39</v>
      </c>
      <c r="Z38" s="1" t="n">
        <v>0.19</v>
      </c>
      <c r="AA38" s="1" t="n">
        <v>63.19</v>
      </c>
      <c r="AB38" s="1" t="n">
        <v>0.21</v>
      </c>
      <c r="AC38" s="1" t="n">
        <f aca="false">AD38/J38</f>
        <v>12.6050821399355</v>
      </c>
      <c r="AD38" s="3" t="n">
        <v>0.099</v>
      </c>
      <c r="AE38" s="1" t="n">
        <v>19.8</v>
      </c>
      <c r="AF38" s="1" t="n">
        <v>0</v>
      </c>
    </row>
    <row r="39" customFormat="false" ht="12.8" hidden="false" customHeight="false" outlineLevel="0" collapsed="false">
      <c r="A39" s="1" t="s">
        <v>69</v>
      </c>
      <c r="B39" s="1" t="n">
        <v>80.51</v>
      </c>
      <c r="C39" s="1" t="n">
        <v>59.95</v>
      </c>
      <c r="D39" s="1" t="n">
        <v>0.3</v>
      </c>
      <c r="E39" s="1" t="n">
        <v>0</v>
      </c>
      <c r="F39" s="1" t="n">
        <v>0.00015</v>
      </c>
      <c r="G39" s="1" t="n">
        <v>0.7</v>
      </c>
      <c r="H39" s="1" t="n">
        <v>3.5E-007</v>
      </c>
      <c r="I39" s="1" t="n">
        <v>0.3</v>
      </c>
      <c r="J39" s="1" t="n">
        <f aca="false">3.14159*0.1^2/4</f>
        <v>0.007853975</v>
      </c>
      <c r="K39" s="1" t="n">
        <v>0.0038</v>
      </c>
      <c r="L39" s="1" t="n">
        <v>0.002</v>
      </c>
      <c r="M39" s="1" t="n">
        <f aca="false">SQRT(3.14159)*0.1/2</f>
        <v>0.0886226551170749</v>
      </c>
      <c r="N39" s="1" t="n">
        <v>1</v>
      </c>
      <c r="O39" s="1" t="n">
        <f aca="false">0.005/J39</f>
        <v>0.636620310097753</v>
      </c>
      <c r="P39" s="1" t="n">
        <v>0.0002</v>
      </c>
      <c r="Q39" s="1" t="n">
        <v>0.0008</v>
      </c>
      <c r="R39" s="1" t="n">
        <v>0.27</v>
      </c>
      <c r="S39" s="1" t="n">
        <v>18</v>
      </c>
      <c r="T39" s="1" t="n">
        <v>52.2864</v>
      </c>
      <c r="U39" s="1" t="n">
        <v>52.2864</v>
      </c>
      <c r="V39" s="1" t="n">
        <v>0</v>
      </c>
      <c r="W39" s="1" t="n">
        <v>0.3</v>
      </c>
      <c r="X39" s="1" t="n">
        <v>1</v>
      </c>
      <c r="Y39" s="1" t="n">
        <v>80.4</v>
      </c>
      <c r="Z39" s="1" t="n">
        <v>0.19</v>
      </c>
      <c r="AA39" s="1" t="n">
        <v>61.49</v>
      </c>
      <c r="AB39" s="1" t="n">
        <v>0.21</v>
      </c>
      <c r="AC39" s="1" t="n">
        <f aca="false">AD39/J39</f>
        <v>15.5335355663852</v>
      </c>
      <c r="AD39" s="3" t="n">
        <v>0.122</v>
      </c>
      <c r="AE39" s="1" t="n">
        <v>24.4</v>
      </c>
      <c r="AF39" s="1" t="n">
        <v>0</v>
      </c>
    </row>
    <row r="40" customFormat="false" ht="12.8" hidden="false" customHeight="false" outlineLevel="0" collapsed="false">
      <c r="A40" s="1" t="s">
        <v>70</v>
      </c>
      <c r="B40" s="1" t="n">
        <v>81.02</v>
      </c>
      <c r="C40" s="1" t="n">
        <v>59.67</v>
      </c>
      <c r="D40" s="1" t="n">
        <v>0.3</v>
      </c>
      <c r="E40" s="1" t="n">
        <v>0</v>
      </c>
      <c r="F40" s="1" t="n">
        <v>0.00015</v>
      </c>
      <c r="G40" s="1" t="n">
        <v>0.7</v>
      </c>
      <c r="H40" s="1" t="n">
        <v>3.5E-007</v>
      </c>
      <c r="I40" s="1" t="n">
        <v>0.3</v>
      </c>
      <c r="J40" s="1" t="n">
        <f aca="false">3.14159*0.1^2/4</f>
        <v>0.007853975</v>
      </c>
      <c r="K40" s="1" t="n">
        <v>0.0038</v>
      </c>
      <c r="L40" s="1" t="n">
        <v>0.002</v>
      </c>
      <c r="M40" s="1" t="n">
        <f aca="false">SQRT(3.14159)*0.1/2</f>
        <v>0.0886226551170749</v>
      </c>
      <c r="N40" s="1" t="n">
        <v>1</v>
      </c>
      <c r="O40" s="1" t="n">
        <f aca="false">0.005/J40</f>
        <v>0.636620310097753</v>
      </c>
      <c r="P40" s="1" t="n">
        <v>0.0002</v>
      </c>
      <c r="Q40" s="1" t="n">
        <v>0.0008</v>
      </c>
      <c r="R40" s="1" t="n">
        <v>0.27</v>
      </c>
      <c r="S40" s="1" t="n">
        <v>18</v>
      </c>
      <c r="T40" s="1" t="n">
        <v>42.9528</v>
      </c>
      <c r="U40" s="1" t="n">
        <v>42.9528</v>
      </c>
      <c r="V40" s="1" t="n">
        <v>0</v>
      </c>
      <c r="W40" s="1" t="n">
        <v>0.3</v>
      </c>
      <c r="X40" s="1" t="n">
        <v>1</v>
      </c>
      <c r="Y40" s="1" t="n">
        <v>80.35</v>
      </c>
      <c r="Z40" s="1" t="n">
        <v>0.19</v>
      </c>
      <c r="AA40" s="1" t="n">
        <v>61.13</v>
      </c>
      <c r="AB40" s="1" t="n">
        <v>0.21</v>
      </c>
      <c r="AC40" s="1" t="n">
        <f aca="false">AD40/J40</f>
        <v>11.4591655817596</v>
      </c>
      <c r="AD40" s="3" t="n">
        <v>0.09</v>
      </c>
      <c r="AE40" s="1" t="n">
        <v>18</v>
      </c>
      <c r="AF40" s="1" t="n">
        <v>0</v>
      </c>
    </row>
    <row r="41" customFormat="false" ht="12.8" hidden="false" customHeight="false" outlineLevel="0" collapsed="false">
      <c r="A41" s="1" t="s">
        <v>71</v>
      </c>
      <c r="B41" s="1" t="n">
        <v>80.8</v>
      </c>
      <c r="C41" s="1" t="n">
        <v>60.09</v>
      </c>
      <c r="D41" s="1" t="n">
        <v>0.3</v>
      </c>
      <c r="E41" s="1" t="n">
        <v>0</v>
      </c>
      <c r="F41" s="1" t="n">
        <v>0.00015</v>
      </c>
      <c r="G41" s="1" t="n">
        <v>0.7</v>
      </c>
      <c r="H41" s="1" t="n">
        <v>3.5E-007</v>
      </c>
      <c r="I41" s="1" t="n">
        <v>0.3</v>
      </c>
      <c r="J41" s="1" t="n">
        <f aca="false">3.14159*0.1^2/4</f>
        <v>0.007853975</v>
      </c>
      <c r="K41" s="1" t="n">
        <v>0.0038</v>
      </c>
      <c r="L41" s="1" t="n">
        <v>0.002</v>
      </c>
      <c r="M41" s="1" t="n">
        <f aca="false">SQRT(3.14159)*0.1/2</f>
        <v>0.0886226551170749</v>
      </c>
      <c r="N41" s="1" t="n">
        <v>1</v>
      </c>
      <c r="O41" s="1" t="n">
        <f aca="false">0.005/J41</f>
        <v>0.636620310097753</v>
      </c>
      <c r="P41" s="1" t="n">
        <v>0.0002</v>
      </c>
      <c r="Q41" s="1" t="n">
        <v>0.0008</v>
      </c>
      <c r="R41" s="1" t="n">
        <v>0.27</v>
      </c>
      <c r="S41" s="1" t="n">
        <v>18</v>
      </c>
      <c r="T41" s="1" t="n">
        <v>52.2864</v>
      </c>
      <c r="U41" s="1" t="n">
        <v>52.2864</v>
      </c>
      <c r="V41" s="1" t="n">
        <v>0</v>
      </c>
      <c r="W41" s="1" t="n">
        <v>0.3</v>
      </c>
      <c r="X41" s="1" t="n">
        <v>1</v>
      </c>
      <c r="Y41" s="1" t="n">
        <v>79.57</v>
      </c>
      <c r="Z41" s="1" t="n">
        <v>0.19</v>
      </c>
      <c r="AA41" s="1" t="n">
        <v>61.42</v>
      </c>
      <c r="AB41" s="1" t="n">
        <v>0.21</v>
      </c>
      <c r="AC41" s="1" t="n">
        <f aca="false">AD41/J41</f>
        <v>15.1515633803265</v>
      </c>
      <c r="AD41" s="3" t="n">
        <v>0.119</v>
      </c>
      <c r="AE41" s="1" t="n">
        <v>23.8</v>
      </c>
      <c r="AF41" s="1" t="n">
        <v>0</v>
      </c>
    </row>
    <row r="42" customFormat="false" ht="12.8" hidden="false" customHeight="false" outlineLevel="0" collapsed="false">
      <c r="A42" s="1" t="s">
        <v>72</v>
      </c>
      <c r="B42" s="1" t="n">
        <v>81.27</v>
      </c>
      <c r="C42" s="1" t="n">
        <v>60.16</v>
      </c>
      <c r="D42" s="1" t="n">
        <v>0.3</v>
      </c>
      <c r="E42" s="1" t="n">
        <v>0</v>
      </c>
      <c r="F42" s="1" t="n">
        <v>0.00015</v>
      </c>
      <c r="G42" s="1" t="n">
        <v>0.7</v>
      </c>
      <c r="H42" s="1" t="n">
        <v>3.5E-007</v>
      </c>
      <c r="I42" s="1" t="n">
        <v>0.3</v>
      </c>
      <c r="J42" s="1" t="n">
        <f aca="false">3.14159*0.1^2/4</f>
        <v>0.007853975</v>
      </c>
      <c r="K42" s="1" t="n">
        <v>0.0038</v>
      </c>
      <c r="L42" s="1" t="n">
        <v>0.002</v>
      </c>
      <c r="M42" s="1" t="n">
        <f aca="false">SQRT(3.14159)*0.1/2</f>
        <v>0.0886226551170749</v>
      </c>
      <c r="N42" s="1" t="n">
        <v>1</v>
      </c>
      <c r="O42" s="1" t="n">
        <f aca="false">0.005/J42</f>
        <v>0.636620310097753</v>
      </c>
      <c r="P42" s="1" t="n">
        <v>0.0002</v>
      </c>
      <c r="Q42" s="1" t="n">
        <v>0.0008</v>
      </c>
      <c r="R42" s="1" t="n">
        <v>0.27</v>
      </c>
      <c r="S42" s="1" t="n">
        <v>18</v>
      </c>
      <c r="T42" s="1" t="n">
        <v>52.2864</v>
      </c>
      <c r="U42" s="1" t="n">
        <v>52.2864</v>
      </c>
      <c r="V42" s="1" t="n">
        <v>0</v>
      </c>
      <c r="W42" s="1" t="n">
        <v>0.3</v>
      </c>
      <c r="X42" s="1" t="n">
        <v>1</v>
      </c>
      <c r="Y42" s="1" t="n">
        <v>79.98</v>
      </c>
      <c r="Z42" s="1" t="n">
        <v>0.19</v>
      </c>
      <c r="AA42" s="1" t="n">
        <v>61.16</v>
      </c>
      <c r="AB42" s="1" t="n">
        <v>0.21</v>
      </c>
      <c r="AC42" s="1" t="n">
        <f aca="false">AD42/J42</f>
        <v>11.4591655817596</v>
      </c>
      <c r="AD42" s="3" t="n">
        <v>0.09</v>
      </c>
      <c r="AE42" s="1" t="n">
        <v>18</v>
      </c>
      <c r="AF42" s="1" t="n">
        <v>0</v>
      </c>
    </row>
    <row r="43" customFormat="false" ht="12.8" hidden="false" customHeight="false" outlineLevel="0" collapsed="false">
      <c r="A43" s="1" t="s">
        <v>73</v>
      </c>
      <c r="B43" s="1" t="n">
        <v>80.33</v>
      </c>
      <c r="C43" s="1" t="n">
        <v>60.45</v>
      </c>
      <c r="D43" s="1" t="n">
        <v>0.3</v>
      </c>
      <c r="E43" s="1" t="n">
        <v>0</v>
      </c>
      <c r="F43" s="1" t="n">
        <v>0.00015</v>
      </c>
      <c r="G43" s="1" t="n">
        <v>0.7</v>
      </c>
      <c r="H43" s="1" t="n">
        <v>3.5E-007</v>
      </c>
      <c r="I43" s="1" t="n">
        <v>0.3</v>
      </c>
      <c r="J43" s="1" t="n">
        <f aca="false">3.14159*0.1^2/4</f>
        <v>0.007853975</v>
      </c>
      <c r="K43" s="1" t="n">
        <v>0.0038</v>
      </c>
      <c r="L43" s="1" t="n">
        <v>0.002</v>
      </c>
      <c r="M43" s="1" t="n">
        <f aca="false">SQRT(3.14159)*0.1/2</f>
        <v>0.0886226551170749</v>
      </c>
      <c r="N43" s="1" t="n">
        <v>1</v>
      </c>
      <c r="O43" s="1" t="n">
        <f aca="false">0.005/J43</f>
        <v>0.636620310097753</v>
      </c>
      <c r="P43" s="1" t="n">
        <v>0.0002</v>
      </c>
      <c r="Q43" s="1" t="n">
        <v>0.0008</v>
      </c>
      <c r="R43" s="1" t="n">
        <v>0.27</v>
      </c>
      <c r="S43" s="1" t="n">
        <v>18</v>
      </c>
      <c r="T43" s="1" t="n">
        <v>61.7646</v>
      </c>
      <c r="U43" s="1" t="n">
        <v>61.7646</v>
      </c>
      <c r="V43" s="1" t="n">
        <v>0</v>
      </c>
      <c r="W43" s="1" t="n">
        <v>0.3</v>
      </c>
      <c r="X43" s="1" t="n">
        <v>1</v>
      </c>
      <c r="Y43" s="1" t="n">
        <v>79.98</v>
      </c>
      <c r="Z43" s="1" t="n">
        <v>0.19</v>
      </c>
      <c r="AA43" s="1" t="n">
        <v>61.85</v>
      </c>
      <c r="AB43" s="1" t="n">
        <v>0.21</v>
      </c>
      <c r="AC43" s="1" t="n">
        <f aca="false">AD43/J43</f>
        <v>16.424804000522</v>
      </c>
      <c r="AD43" s="3" t="n">
        <v>0.129</v>
      </c>
      <c r="AE43" s="1" t="n">
        <v>25.8</v>
      </c>
      <c r="AF43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1762</TotalTime>
  <Application>LibreOffice/25.8.6.1$Windows_X86_64 LibreOffice_project/85297ec6e49ec4e6faaa6f11880d49294fc70e60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2026-07-02T15:28:48Z</dcterms:modified>
  <cp:revision>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